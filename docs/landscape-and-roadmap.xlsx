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總覽" sheetId="1" state="visible" r:id="rId3"/>
    <sheet name="全球版圖" sheetId="2" state="visible" r:id="rId4"/>
    <sheet name="差距盤點" sheetId="3" state="visible" r:id="rId5"/>
    <sheet name="階段" sheetId="4" state="visible" r:id="rId6"/>
    <sheet name="Roadmap" sheetId="5" state="visible" r:id="rId7"/>
    <sheet name="產品線" sheetId="6" state="visible" r:id="rId8"/>
    <sheet name="來源" sheetId="7" state="visible" r:id="rId9"/>
  </sheets>
  <definedNames>
    <definedName function="false" hidden="true" localSheetId="4" name="_xlnm._FilterDatabase" vbProcedure="false">Roadmap!$A$1:$E$21</definedName>
    <definedName function="false" hidden="true" localSheetId="1" name="_xlnm._FilterDatabase" vbProcedure="false">全球版圖!$A$1:$F$16</definedName>
    <definedName function="false" hidden="true" localSheetId="2" name="_xlnm._FilterDatabase" vbProcedure="false">差距盤點!$A$1:$G$15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<sst xmlns="http://schemas.openxmlformats.org/spreadsheetml/2006/main" count="411" uniqueCount="270">
  <si>
    <r>
      <rPr>
        <b val="true"/>
        <sz val="14"/>
        <rFont val="Microsoft JhengHei"/>
        <family val="0"/>
        <charset val="1"/>
      </rPr>
      <t xml:space="preserve">AIOS </t>
    </r>
    <r>
      <rPr>
        <b val="true"/>
        <sz val="14"/>
        <rFont val="Noto Sans CJK SC"/>
        <family val="2"/>
      </rPr>
      <t xml:space="preserve">全球對照與規劃（</t>
    </r>
    <r>
      <rPr>
        <b val="true"/>
        <sz val="14"/>
        <rFont val="Microsoft JhengHei"/>
        <family val="0"/>
        <charset val="1"/>
      </rPr>
      <t xml:space="preserve">2026-10-19</t>
    </r>
    <r>
      <rPr>
        <b val="true"/>
        <sz val="14"/>
        <rFont val="Noto Sans CJK SC"/>
        <family val="2"/>
      </rPr>
      <t xml:space="preserve">）</t>
    </r>
  </si>
  <si>
    <t xml:space="preserve">定位結論</t>
  </si>
  <si>
    <r>
      <rPr>
        <sz val="10"/>
        <rFont val="Noto Sans CJK SC"/>
        <family val="2"/>
      </rPr>
      <t xml:space="preserve">目前沒有人同時做到「本機優先、預設安全、不綁特定模型」。</t>
    </r>
    <r>
      <rPr>
        <sz val="10"/>
        <rFont val="Microsoft JhengHei"/>
        <family val="0"/>
        <charset val="1"/>
      </rPr>
      <t xml:space="preserve">OpenClaw </t>
    </r>
    <r>
      <rPr>
        <sz val="10"/>
        <rFont val="Noto Sans CJK SC"/>
        <family val="2"/>
      </rPr>
      <t xml:space="preserve">證明需求，卻敗在安全；大廠則把 </t>
    </r>
    <r>
      <rPr>
        <sz val="10"/>
        <rFont val="Microsoft JhengHei"/>
        <family val="0"/>
        <charset val="1"/>
      </rPr>
      <t xml:space="preserve">agent </t>
    </r>
    <r>
      <rPr>
        <sz val="10"/>
        <rFont val="Noto Sans CJK SC"/>
        <family val="2"/>
      </rPr>
      <t xml:space="preserve">綁進自家 </t>
    </r>
    <r>
      <rPr>
        <sz val="10"/>
        <rFont val="Microsoft JhengHei"/>
        <family val="0"/>
        <charset val="1"/>
      </rPr>
      <t xml:space="preserve">OS </t>
    </r>
    <r>
      <rPr>
        <sz val="10"/>
        <rFont val="Noto Sans CJK SC"/>
        <family val="2"/>
      </rPr>
      <t xml:space="preserve">或企業平台。建議定位：個人與小團隊用的、跨平台、預設安全的 </t>
    </r>
    <r>
      <rPr>
        <sz val="10"/>
        <rFont val="Microsoft JhengHei"/>
        <family val="0"/>
        <charset val="1"/>
      </rPr>
      <t xml:space="preserve">agent </t>
    </r>
    <r>
      <rPr>
        <sz val="10"/>
        <rFont val="Noto Sans CJK SC"/>
        <family val="2"/>
      </rPr>
      <t xml:space="preserve">運行時。（此為判斷，非資料直接結論。）</t>
    </r>
  </si>
  <si>
    <r>
      <rPr>
        <b val="true"/>
        <sz val="10"/>
        <rFont val="Microsoft JhengHei"/>
        <family val="0"/>
        <charset val="1"/>
      </rPr>
      <t xml:space="preserve">Roadmap </t>
    </r>
    <r>
      <rPr>
        <b val="true"/>
        <sz val="10"/>
        <rFont val="Noto Sans CJK SC"/>
        <family val="2"/>
      </rPr>
      <t xml:space="preserve">進度（隨「</t>
    </r>
    <r>
      <rPr>
        <b val="true"/>
        <sz val="10"/>
        <rFont val="Microsoft JhengHei"/>
        <family val="0"/>
        <charset val="1"/>
      </rPr>
      <t xml:space="preserve">Roadmap</t>
    </r>
    <r>
      <rPr>
        <b val="true"/>
        <sz val="10"/>
        <rFont val="Noto Sans CJK SC"/>
        <family val="2"/>
      </rPr>
      <t xml:space="preserve">」狀態自動更新）</t>
    </r>
  </si>
  <si>
    <t xml:space="preserve">項目總數</t>
  </si>
  <si>
    <t xml:space="preserve">完成</t>
  </si>
  <si>
    <t xml:space="preserve">進行中</t>
  </si>
  <si>
    <t xml:space="preserve">未開始</t>
  </si>
  <si>
    <t xml:space="preserve">完成率</t>
  </si>
  <si>
    <t xml:space="preserve">各階段項目數</t>
  </si>
  <si>
    <r>
      <rPr>
        <sz val="10"/>
        <rFont val="Microsoft JhengHei"/>
        <family val="0"/>
        <charset val="1"/>
      </rPr>
      <t xml:space="preserve">P0 </t>
    </r>
    <r>
      <rPr>
        <sz val="10"/>
        <rFont val="Noto Sans CJK SC"/>
        <family val="2"/>
      </rPr>
      <t xml:space="preserve">打底</t>
    </r>
  </si>
  <si>
    <r>
      <rPr>
        <sz val="10"/>
        <rFont val="Microsoft JhengHei"/>
        <family val="0"/>
        <charset val="1"/>
      </rPr>
      <t xml:space="preserve">P1 </t>
    </r>
    <r>
      <rPr>
        <sz val="10"/>
        <rFont val="Noto Sans CJK SC"/>
        <family val="2"/>
      </rPr>
      <t xml:space="preserve">安全核心</t>
    </r>
  </si>
  <si>
    <r>
      <rPr>
        <sz val="10"/>
        <rFont val="Microsoft JhengHei"/>
        <family val="0"/>
        <charset val="1"/>
      </rPr>
      <t xml:space="preserve">P2 </t>
    </r>
    <r>
      <rPr>
        <sz val="10"/>
        <rFont val="Noto Sans CJK SC"/>
        <family val="2"/>
      </rPr>
      <t xml:space="preserve">擴展</t>
    </r>
  </si>
  <si>
    <r>
      <rPr>
        <sz val="10"/>
        <rFont val="Microsoft JhengHei"/>
        <family val="0"/>
        <charset val="1"/>
      </rPr>
      <t xml:space="preserve">P3 </t>
    </r>
    <r>
      <rPr>
        <sz val="10"/>
        <rFont val="Noto Sans CJK SC"/>
        <family val="2"/>
      </rPr>
      <t xml:space="preserve">生態</t>
    </r>
  </si>
  <si>
    <r>
      <rPr>
        <sz val="10"/>
        <rFont val="Microsoft JhengHei"/>
        <family val="0"/>
        <charset val="1"/>
      </rPr>
      <t xml:space="preserve">P4 OS </t>
    </r>
    <r>
      <rPr>
        <sz val="10"/>
        <rFont val="Noto Sans CJK SC"/>
        <family val="2"/>
      </rPr>
      <t xml:space="preserve">層</t>
    </r>
  </si>
  <si>
    <t xml:space="preserve">差距盤點（隨「差距盤點」自動更新）</t>
  </si>
  <si>
    <t xml:space="preserve">差距總數</t>
  </si>
  <si>
    <t xml:space="preserve">嚴重度：高</t>
  </si>
  <si>
    <t xml:space="preserve">嚴重度：中</t>
  </si>
  <si>
    <t xml:space="preserve">嚴重度：低</t>
  </si>
  <si>
    <t xml:space="preserve">已完成的差距</t>
  </si>
  <si>
    <t xml:space="preserve">閱讀須知</t>
  </si>
  <si>
    <t xml:space="preserve">藍字＝可自行編輯（狀態、嚴重度、階段月份）；綠字＝跨工作表公式；黃底＝關鍵假設。</t>
  </si>
  <si>
    <r>
      <rPr>
        <sz val="10"/>
        <rFont val="Noto Sans CJK SC"/>
        <family val="2"/>
      </rPr>
      <t xml:space="preserve">資料多來自廠商自述、新聞與部落格；</t>
    </r>
    <r>
      <rPr>
        <sz val="10"/>
        <rFont val="Microsoft JhengHei"/>
        <family val="0"/>
        <charset val="1"/>
      </rPr>
      <t xml:space="preserve">Apple </t>
    </r>
    <r>
      <rPr>
        <sz val="10"/>
        <rFont val="Noto Sans CJK SC"/>
        <family val="2"/>
      </rPr>
      <t xml:space="preserve">部分為媒體報導、尚未證實；記憶層跑分各方結論互相矛盾，請以自己的資料實測。</t>
    </r>
  </si>
  <si>
    <r>
      <rPr>
        <sz val="10"/>
        <rFont val="Noto Sans CJK SC"/>
        <family val="2"/>
      </rPr>
      <t xml:space="preserve">本檔由 </t>
    </r>
    <r>
      <rPr>
        <sz val="10"/>
        <rFont val="Microsoft JhengHei"/>
        <family val="0"/>
        <charset val="1"/>
      </rPr>
      <t xml:space="preserve">Claude </t>
    </r>
    <r>
      <rPr>
        <sz val="10"/>
        <rFont val="Noto Sans CJK SC"/>
        <family val="2"/>
      </rPr>
      <t xml:space="preserve">依對話內容整理；</t>
    </r>
    <r>
      <rPr>
        <sz val="10"/>
        <rFont val="Microsoft JhengHei"/>
        <family val="0"/>
        <charset val="1"/>
      </rPr>
      <t xml:space="preserve">Anthropic </t>
    </r>
    <r>
      <rPr>
        <sz val="10"/>
        <rFont val="Noto Sans CJK SC"/>
        <family val="2"/>
      </rPr>
      <t xml:space="preserve">亦為表中參與者，請自行核對相關描述。</t>
    </r>
  </si>
  <si>
    <t xml:space="preserve">產品線的商業模式與各階段月份皆為假設，需依實際資源與市場驗證調整。</t>
  </si>
  <si>
    <t xml:space="preserve">層級</t>
  </si>
  <si>
    <t xml:space="preserve">代表</t>
  </si>
  <si>
    <t xml:space="preserve">現況摘要</t>
  </si>
  <si>
    <r>
      <rPr>
        <b val="true"/>
        <sz val="10"/>
        <color rgb="FFFFFFFF"/>
        <rFont val="Noto Sans CJK SC"/>
        <family val="2"/>
      </rPr>
      <t xml:space="preserve">對 </t>
    </r>
    <r>
      <rPr>
        <b val="true"/>
        <sz val="10"/>
        <color rgb="FFFFFFFF"/>
        <rFont val="Microsoft JhengHei"/>
        <family val="0"/>
        <charset val="1"/>
      </rPr>
      <t xml:space="preserve">AIOS </t>
    </r>
    <r>
      <rPr>
        <b val="true"/>
        <sz val="10"/>
        <color rgb="FFFFFFFF"/>
        <rFont val="Noto Sans CJK SC"/>
        <family val="2"/>
      </rPr>
      <t xml:space="preserve">的意義（判斷）</t>
    </r>
  </si>
  <si>
    <t xml:space="preserve">資料性質</t>
  </si>
  <si>
    <t xml:space="preserve">來源連結</t>
  </si>
  <si>
    <t xml:space="preserve">學術</t>
  </si>
  <si>
    <t xml:space="preserve">Rutgers AIOS</t>
  </si>
  <si>
    <r>
      <rPr>
        <sz val="10"/>
        <rFont val="Noto Sans CJK SC"/>
        <family val="2"/>
      </rPr>
      <t xml:space="preserve">提供調度、記憶、儲存與存取控制；報告多 </t>
    </r>
    <r>
      <rPr>
        <sz val="10"/>
        <rFont val="Microsoft JhengHei"/>
        <family val="0"/>
        <charset val="1"/>
      </rPr>
      <t xml:space="preserve">agent </t>
    </r>
    <r>
      <rPr>
        <sz val="10"/>
        <rFont val="Noto Sans CJK SC"/>
        <family val="2"/>
      </rPr>
      <t xml:space="preserve">執行速度最高提升 </t>
    </r>
    <r>
      <rPr>
        <sz val="10"/>
        <rFont val="Microsoft JhengHei"/>
        <family val="0"/>
        <charset val="1"/>
      </rPr>
      <t xml:space="preserve">2.1 </t>
    </r>
    <r>
      <rPr>
        <sz val="10"/>
        <rFont val="Noto Sans CJK SC"/>
        <family val="2"/>
      </rPr>
      <t xml:space="preserve">倍。</t>
    </r>
    <r>
      <rPr>
        <sz val="10"/>
        <rFont val="Microsoft JhengHei"/>
        <family val="0"/>
        <charset val="1"/>
      </rPr>
      <t xml:space="preserve">2026 </t>
    </r>
    <r>
      <rPr>
        <sz val="10"/>
        <rFont val="Noto Sans CJK SC"/>
        <family val="2"/>
      </rPr>
      <t xml:space="preserve">年 </t>
    </r>
    <r>
      <rPr>
        <sz val="10"/>
        <rFont val="Microsoft JhengHei"/>
        <family val="0"/>
        <charset val="1"/>
      </rPr>
      <t xml:space="preserve">3 </t>
    </r>
    <r>
      <rPr>
        <sz val="10"/>
        <rFont val="Noto Sans CJK SC"/>
        <family val="2"/>
      </rPr>
      <t xml:space="preserve">月另有 </t>
    </r>
    <r>
      <rPr>
        <sz val="10"/>
        <rFont val="Microsoft JhengHei"/>
        <family val="0"/>
        <charset val="1"/>
      </rPr>
      <t xml:space="preserve">AgenticOS </t>
    </r>
    <r>
      <rPr>
        <sz val="10"/>
        <rFont val="Noto Sans CJK SC"/>
        <family val="2"/>
      </rPr>
      <t xml:space="preserve">工作坊討論 </t>
    </r>
    <r>
      <rPr>
        <sz val="10"/>
        <rFont val="Microsoft JhengHei"/>
        <family val="0"/>
        <charset val="1"/>
      </rPr>
      <t xml:space="preserve">agent </t>
    </r>
    <r>
      <rPr>
        <sz val="10"/>
        <rFont val="Noto Sans CJK SC"/>
        <family val="2"/>
      </rPr>
      <t xml:space="preserve">的 </t>
    </r>
    <r>
      <rPr>
        <sz val="10"/>
        <rFont val="Microsoft JhengHei"/>
        <family val="0"/>
        <charset val="1"/>
      </rPr>
      <t xml:space="preserve">OS </t>
    </r>
    <r>
      <rPr>
        <sz val="10"/>
        <rFont val="Noto Sans CJK SC"/>
        <family val="2"/>
      </rPr>
      <t xml:space="preserve">設計。</t>
    </r>
  </si>
  <si>
    <t xml:space="preserve">概念與模組劃分可參考，但缺少產品化與安全實測。</t>
  </si>
  <si>
    <t xml:space="preserve">學術論文／會議公告</t>
  </si>
  <si>
    <t xml:space="preserve">https://arxiv.org/html/2403.16971v2</t>
  </si>
  <si>
    <r>
      <rPr>
        <sz val="10"/>
        <rFont val="Noto Sans CJK SC"/>
        <family val="2"/>
      </rPr>
      <t xml:space="preserve">開源個人 </t>
    </r>
    <r>
      <rPr>
        <sz val="10"/>
        <rFont val="Microsoft JhengHei"/>
        <family val="0"/>
        <charset val="1"/>
      </rPr>
      <t xml:space="preserve">agent</t>
    </r>
  </si>
  <si>
    <t xml:space="preserve">OpenClaw</t>
  </si>
  <si>
    <r>
      <rPr>
        <sz val="10"/>
        <rFont val="Noto Sans CJK SC"/>
        <family val="2"/>
      </rPr>
      <t xml:space="preserve">本機執行，可管行事曆、傳訊息、購物、執行 </t>
    </r>
    <r>
      <rPr>
        <sz val="10"/>
        <rFont val="Microsoft JhengHei"/>
        <family val="0"/>
        <charset val="1"/>
      </rPr>
      <t xml:space="preserve">shell</t>
    </r>
    <r>
      <rPr>
        <sz val="10"/>
        <rFont val="Noto Sans CJK SC"/>
        <family val="2"/>
      </rPr>
      <t xml:space="preserve">。</t>
    </r>
    <r>
      <rPr>
        <sz val="10"/>
        <rFont val="Microsoft JhengHei"/>
        <family val="0"/>
        <charset val="1"/>
      </rPr>
      <t xml:space="preserve">Gartner </t>
    </r>
    <r>
      <rPr>
        <sz val="10"/>
        <rFont val="Noto Sans CJK SC"/>
        <family val="2"/>
      </rPr>
      <t xml:space="preserve">分析師稱風險「不可接受」；</t>
    </r>
    <r>
      <rPr>
        <sz val="10"/>
        <rFont val="Microsoft JhengHei"/>
        <family val="0"/>
        <charset val="1"/>
      </rPr>
      <t xml:space="preserve">ClawHub </t>
    </r>
    <r>
      <rPr>
        <sz val="10"/>
        <rFont val="Noto Sans CJK SC"/>
        <family val="2"/>
      </rPr>
      <t xml:space="preserve">發現 </t>
    </r>
    <r>
      <rPr>
        <sz val="10"/>
        <rFont val="Microsoft JhengHei"/>
        <family val="0"/>
        <charset val="1"/>
      </rPr>
      <t xml:space="preserve">341 </t>
    </r>
    <r>
      <rPr>
        <sz val="10"/>
        <rFont val="Noto Sans CJK SC"/>
        <family val="2"/>
      </rPr>
      <t xml:space="preserve">個惡意技能；逾 </t>
    </r>
    <r>
      <rPr>
        <sz val="10"/>
        <rFont val="Microsoft JhengHei"/>
        <family val="0"/>
        <charset val="1"/>
      </rPr>
      <t xml:space="preserve">2 </t>
    </r>
    <r>
      <rPr>
        <sz val="10"/>
        <rFont val="Noto Sans CJK SC"/>
        <family val="2"/>
      </rPr>
      <t xml:space="preserve">萬個實例暴露公網；有一夜燒約 </t>
    </r>
    <r>
      <rPr>
        <sz val="10"/>
        <rFont val="Microsoft JhengHei"/>
        <family val="0"/>
        <charset val="1"/>
      </rPr>
      <t xml:space="preserve">20 </t>
    </r>
    <r>
      <rPr>
        <sz val="10"/>
        <rFont val="Noto Sans CJK SC"/>
        <family val="2"/>
      </rPr>
      <t xml:space="preserve">美元 </t>
    </r>
    <r>
      <rPr>
        <sz val="10"/>
        <rFont val="Microsoft JhengHei"/>
        <family val="0"/>
        <charset val="1"/>
      </rPr>
      <t xml:space="preserve">API </t>
    </r>
    <r>
      <rPr>
        <sz val="10"/>
        <rFont val="Noto Sans CJK SC"/>
        <family val="2"/>
      </rPr>
      <t xml:space="preserve">額度的案例。</t>
    </r>
  </si>
  <si>
    <r>
      <rPr>
        <sz val="10"/>
        <rFont val="Noto Sans CJK SC"/>
        <family val="2"/>
      </rPr>
      <t xml:space="preserve">證明需求巨大，也證明「預設不安全」是致命傷。</t>
    </r>
    <r>
      <rPr>
        <sz val="10"/>
        <rFont val="Microsoft JhengHei"/>
        <family val="0"/>
        <charset val="1"/>
      </rPr>
      <t xml:space="preserve">AIOS </t>
    </r>
    <r>
      <rPr>
        <sz val="10"/>
        <rFont val="Noto Sans CJK SC"/>
        <family val="2"/>
      </rPr>
      <t xml:space="preserve">的機會在預設安全。</t>
    </r>
  </si>
  <si>
    <t xml:space="preserve">新聞／資安報導</t>
  </si>
  <si>
    <t xml:space="preserve">https://securityboulevard.com/2026/03/latest-openclaw-flaw-can-let-malicious-websites-hijack-local-ai-agents/</t>
  </si>
  <si>
    <t xml:space="preserve">Hermes AIOS</t>
  </si>
  <si>
    <r>
      <rPr>
        <sz val="10"/>
        <rFont val="Noto Sans CJK SC"/>
        <family val="2"/>
      </rPr>
      <t xml:space="preserve">開源 </t>
    </r>
    <r>
      <rPr>
        <sz val="10"/>
        <rFont val="Microsoft JhengHei"/>
        <family val="0"/>
        <charset val="1"/>
      </rPr>
      <t xml:space="preserve">agentic OS</t>
    </r>
    <r>
      <rPr>
        <sz val="10"/>
        <rFont val="Noto Sans CJK SC"/>
        <family val="2"/>
      </rPr>
      <t xml:space="preserve">，主打長期記憶與可重用技能。</t>
    </r>
  </si>
  <si>
    <t xml:space="preserve">「技能＋記憶」是共同賣點；差異化需靠安全與跨平台。</t>
  </si>
  <si>
    <t xml:space="preserve">新聞稿／部落格</t>
  </si>
  <si>
    <t xml:space="preserve">https://news.ainauten.com/markdown/open-source-hermes-aios-lernt-aus-deinem-workflow</t>
  </si>
  <si>
    <r>
      <rPr>
        <sz val="10"/>
        <rFont val="Microsoft JhengHei"/>
        <family val="0"/>
        <charset val="1"/>
      </rPr>
      <t xml:space="preserve">OS </t>
    </r>
    <r>
      <rPr>
        <sz val="10"/>
        <rFont val="Noto Sans CJK SC"/>
        <family val="2"/>
      </rPr>
      <t xml:space="preserve">廠商</t>
    </r>
  </si>
  <si>
    <t xml:space="preserve">Microsoft Windows</t>
  </si>
  <si>
    <r>
      <rPr>
        <sz val="10"/>
        <rFont val="Microsoft JhengHei"/>
        <family val="0"/>
        <charset val="1"/>
      </rPr>
      <t xml:space="preserve">MCP </t>
    </r>
    <r>
      <rPr>
        <sz val="10"/>
        <rFont val="Noto Sans CJK SC"/>
        <family val="2"/>
      </rPr>
      <t xml:space="preserve">連接器的裝置端註冊表，所有呼叫經 </t>
    </r>
    <r>
      <rPr>
        <sz val="10"/>
        <rFont val="Microsoft JhengHei"/>
        <family val="0"/>
        <charset val="1"/>
      </rPr>
      <t xml:space="preserve">OS </t>
    </r>
    <r>
      <rPr>
        <sz val="10"/>
        <rFont val="Noto Sans CJK SC"/>
        <family val="2"/>
      </rPr>
      <t xml:space="preserve">層代理處理身分、權限、同意與稽核；另有隔離、受政策控管且可稽核的 </t>
    </r>
    <r>
      <rPr>
        <sz val="10"/>
        <rFont val="Microsoft JhengHei"/>
        <family val="0"/>
        <charset val="1"/>
      </rPr>
      <t xml:space="preserve">Agent workspace </t>
    </r>
    <r>
      <rPr>
        <sz val="10"/>
        <rFont val="Noto Sans CJK SC"/>
        <family val="2"/>
      </rPr>
      <t xml:space="preserve">與 </t>
    </r>
    <r>
      <rPr>
        <sz val="10"/>
        <rFont val="Microsoft JhengHei"/>
        <family val="0"/>
        <charset val="1"/>
      </rPr>
      <t xml:space="preserve">Agent ID</t>
    </r>
    <r>
      <rPr>
        <sz val="10"/>
        <rFont val="Noto Sans CJK SC"/>
        <family val="2"/>
      </rPr>
      <t xml:space="preserve">。</t>
    </r>
  </si>
  <si>
    <r>
      <rPr>
        <sz val="10"/>
        <rFont val="Microsoft JhengHei"/>
        <family val="0"/>
        <charset val="1"/>
      </rPr>
      <t xml:space="preserve">OS </t>
    </r>
    <r>
      <rPr>
        <sz val="10"/>
        <rFont val="Noto Sans CJK SC"/>
        <family val="2"/>
      </rPr>
      <t xml:space="preserve">層會內建安全與稽核；</t>
    </r>
    <r>
      <rPr>
        <sz val="10"/>
        <rFont val="Microsoft JhengHei"/>
        <family val="0"/>
        <charset val="1"/>
      </rPr>
      <t xml:space="preserve">AIOS </t>
    </r>
    <r>
      <rPr>
        <sz val="10"/>
        <rFont val="Noto Sans CJK SC"/>
        <family val="2"/>
      </rPr>
      <t xml:space="preserve">要走跨平台、中立路線。</t>
    </r>
  </si>
  <si>
    <t xml:space="preserve">新聞／微軟開發者頁</t>
  </si>
  <si>
    <t xml:space="preserve">https://techspective.net/2025/11/18/windows-becoming-operating-system-for-ai-agents/</t>
  </si>
  <si>
    <t xml:space="preserve">Google Android 17</t>
  </si>
  <si>
    <r>
      <rPr>
        <sz val="10"/>
        <rFont val="Microsoft JhengHei"/>
        <family val="0"/>
        <charset val="1"/>
      </rPr>
      <t xml:space="preserve">AppFunctions </t>
    </r>
    <r>
      <rPr>
        <sz val="10"/>
        <rFont val="Noto Sans CJK SC"/>
        <family val="2"/>
      </rPr>
      <t xml:space="preserve">讓 </t>
    </r>
    <r>
      <rPr>
        <sz val="10"/>
        <rFont val="Microsoft JhengHei"/>
        <family val="0"/>
        <charset val="1"/>
      </rPr>
      <t xml:space="preserve">App </t>
    </r>
    <r>
      <rPr>
        <sz val="10"/>
        <rFont val="Noto Sans CJK SC"/>
        <family val="2"/>
      </rPr>
      <t xml:space="preserve">暴露型別化能力供 </t>
    </r>
    <r>
      <rPr>
        <sz val="10"/>
        <rFont val="Microsoft JhengHei"/>
        <family val="0"/>
        <charset val="1"/>
      </rPr>
      <t xml:space="preserve">Gemini </t>
    </r>
    <r>
      <rPr>
        <sz val="10"/>
        <rFont val="Noto Sans CJK SC"/>
        <family val="2"/>
      </rPr>
      <t xml:space="preserve">等 </t>
    </r>
    <r>
      <rPr>
        <sz val="10"/>
        <rFont val="Microsoft JhengHei"/>
        <family val="0"/>
        <charset val="1"/>
      </rPr>
      <t xml:space="preserve">agent </t>
    </r>
    <r>
      <rPr>
        <sz val="10"/>
        <rFont val="Noto Sans CJK SC"/>
        <family val="2"/>
      </rPr>
      <t xml:space="preserve">呼叫；</t>
    </r>
    <r>
      <rPr>
        <sz val="10"/>
        <rFont val="Microsoft JhengHei"/>
        <family val="0"/>
        <charset val="1"/>
      </rPr>
      <t xml:space="preserve">Android 17 </t>
    </r>
    <r>
      <rPr>
        <sz val="10"/>
        <rFont val="Noto Sans CJK SC"/>
        <family val="2"/>
      </rPr>
      <t xml:space="preserve">定位為主動式、裝置端 </t>
    </r>
    <r>
      <rPr>
        <sz val="10"/>
        <rFont val="Microsoft JhengHei"/>
        <family val="0"/>
        <charset val="1"/>
      </rPr>
      <t xml:space="preserve">agentic </t>
    </r>
    <r>
      <rPr>
        <sz val="10"/>
        <rFont val="Noto Sans CJK SC"/>
        <family val="2"/>
      </rPr>
      <t xml:space="preserve">的「</t>
    </r>
    <r>
      <rPr>
        <sz val="10"/>
        <rFont val="Microsoft JhengHei"/>
        <family val="0"/>
        <charset val="1"/>
      </rPr>
      <t xml:space="preserve">Gemini Intelligence</t>
    </r>
    <r>
      <rPr>
        <sz val="10"/>
        <rFont val="Noto Sans CJK SC"/>
        <family val="2"/>
      </rPr>
      <t xml:space="preserve">」。</t>
    </r>
  </si>
  <si>
    <r>
      <rPr>
        <sz val="10"/>
        <rFont val="Noto Sans CJK SC"/>
        <family val="2"/>
      </rPr>
      <t xml:space="preserve">手機端由 </t>
    </r>
    <r>
      <rPr>
        <sz val="10"/>
        <rFont val="Microsoft JhengHei"/>
        <family val="0"/>
        <charset val="1"/>
      </rPr>
      <t xml:space="preserve">OS </t>
    </r>
    <r>
      <rPr>
        <sz val="10"/>
        <rFont val="Noto Sans CJK SC"/>
        <family val="2"/>
      </rPr>
      <t xml:space="preserve">廠商主導，</t>
    </r>
    <r>
      <rPr>
        <sz val="10"/>
        <rFont val="Microsoft JhengHei"/>
        <family val="0"/>
        <charset val="1"/>
      </rPr>
      <t xml:space="preserve">AIOS </t>
    </r>
    <r>
      <rPr>
        <sz val="10"/>
        <rFont val="Noto Sans CJK SC"/>
        <family val="2"/>
      </rPr>
      <t xml:space="preserve">不宜正面競爭。</t>
    </r>
  </si>
  <si>
    <t xml:space="preserve">新聞／媒體報導</t>
  </si>
  <si>
    <t xml:space="preserve">https://macrumors.com/2026/05/12/google-previews-android-17/</t>
  </si>
  <si>
    <r>
      <rPr>
        <sz val="10"/>
        <rFont val="Microsoft JhengHei"/>
        <family val="0"/>
        <charset val="1"/>
      </rPr>
      <t xml:space="preserve">Apple iOS 27</t>
    </r>
    <r>
      <rPr>
        <sz val="10"/>
        <rFont val="Noto Sans CJK SC"/>
        <family val="2"/>
      </rPr>
      <t xml:space="preserve">（</t>
    </r>
    <r>
      <rPr>
        <sz val="10"/>
        <rFont val="Microsoft JhengHei"/>
        <family val="0"/>
        <charset val="1"/>
      </rPr>
      <t xml:space="preserve">Siri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</si>
  <si>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據報導 </t>
    </r>
    <r>
      <rPr>
        <sz val="10"/>
        <rFont val="Microsoft JhengHei"/>
        <family val="0"/>
        <charset val="1"/>
      </rPr>
      <t xml:space="preserve">Siri </t>
    </r>
    <r>
      <rPr>
        <sz val="10"/>
        <rFont val="Noto Sans CJK SC"/>
        <family val="2"/>
      </rPr>
      <t xml:space="preserve">將重建為常駐 </t>
    </r>
    <r>
      <rPr>
        <sz val="10"/>
        <rFont val="Microsoft JhengHei"/>
        <family val="0"/>
        <charset val="1"/>
      </rPr>
      <t xml:space="preserve">agent</t>
    </r>
    <r>
      <rPr>
        <sz val="10"/>
        <rFont val="Noto Sans CJK SC"/>
        <family val="2"/>
      </rPr>
      <t xml:space="preserve">，並開放第三方 </t>
    </r>
    <r>
      <rPr>
        <sz val="10"/>
        <rFont val="Microsoft JhengHei"/>
        <family val="0"/>
        <charset val="1"/>
      </rPr>
      <t xml:space="preserve">AI </t>
    </r>
    <r>
      <rPr>
        <sz val="10"/>
        <rFont val="Noto Sans CJK SC"/>
        <family val="2"/>
      </rPr>
      <t xml:space="preserve">擴充。</t>
    </r>
  </si>
  <si>
    <t xml:space="preserve">尚未證實，僅作觀察。</t>
  </si>
  <si>
    <t xml:space="preserve">媒體報導（未證實）</t>
  </si>
  <si>
    <t xml:space="preserve">https://www.gizmodo.com/siri-total-chatbot-makeover-is-imminent-with-ios-27-2000757747</t>
  </si>
  <si>
    <t xml:space="preserve">企業平台</t>
  </si>
  <si>
    <t xml:space="preserve">OpenAI Frontier</t>
  </si>
  <si>
    <r>
      <rPr>
        <sz val="10"/>
        <rFont val="Noto Sans CJK SC"/>
        <family val="2"/>
      </rPr>
      <t xml:space="preserve">讓組織建置、部署並管理跨業務系統的 </t>
    </r>
    <r>
      <rPr>
        <sz val="10"/>
        <rFont val="Microsoft JhengHei"/>
        <family val="0"/>
        <charset val="1"/>
      </rPr>
      <t xml:space="preserve">agent</t>
    </r>
    <r>
      <rPr>
        <sz val="10"/>
        <rFont val="Noto Sans CJK SC"/>
        <family val="2"/>
      </rPr>
      <t xml:space="preserve">，每個 </t>
    </r>
    <r>
      <rPr>
        <sz val="10"/>
        <rFont val="Microsoft JhengHei"/>
        <family val="0"/>
        <charset val="1"/>
      </rPr>
      <t xml:space="preserve">agent </t>
    </r>
    <r>
      <rPr>
        <sz val="10"/>
        <rFont val="Noto Sans CJK SC"/>
        <family val="2"/>
      </rPr>
      <t xml:space="preserve">有範圍受限的權限，並開放第三方 </t>
    </r>
    <r>
      <rPr>
        <sz val="10"/>
        <rFont val="Microsoft JhengHei"/>
        <family val="0"/>
        <charset val="1"/>
      </rPr>
      <t xml:space="preserve">agent</t>
    </r>
    <r>
      <rPr>
        <sz val="10"/>
        <rFont val="Noto Sans CJK SC"/>
        <family val="2"/>
      </rPr>
      <t xml:space="preserve">。</t>
    </r>
  </si>
  <si>
    <t xml:space="preserve">企業市場已被大廠佔據；個人與小團隊仍有空間。</t>
  </si>
  <si>
    <t xml:space="preserve">新聞／廠商自述</t>
  </si>
  <si>
    <t xml:space="preserve">https://noqta.tn/en/news/openai-frontier-enterprise-ai-agent-platform-2026</t>
  </si>
  <si>
    <t xml:space="preserve">Anthropic Managed Agents / Cowork</t>
  </si>
  <si>
    <r>
      <rPr>
        <sz val="10"/>
        <rFont val="Microsoft JhengHei"/>
        <family val="0"/>
        <charset val="1"/>
      </rPr>
      <t xml:space="preserve">Managed Agents </t>
    </r>
    <r>
      <rPr>
        <sz val="10"/>
        <rFont val="Noto Sans CJK SC"/>
        <family val="2"/>
      </rPr>
      <t xml:space="preserve">提供託管沙箱、憑證保管、權限與追蹤，另收每 </t>
    </r>
    <r>
      <rPr>
        <sz val="10"/>
        <rFont val="Microsoft JhengHei"/>
        <family val="0"/>
        <charset val="1"/>
      </rPr>
      <t xml:space="preserve">session </t>
    </r>
    <r>
      <rPr>
        <sz val="10"/>
        <rFont val="Noto Sans CJK SC"/>
        <family val="2"/>
      </rPr>
      <t xml:space="preserve">小時 </t>
    </r>
    <r>
      <rPr>
        <sz val="10"/>
        <rFont val="Microsoft JhengHei"/>
        <family val="0"/>
        <charset val="1"/>
      </rPr>
      <t xml:space="preserve">0.08 </t>
    </r>
    <r>
      <rPr>
        <sz val="10"/>
        <rFont val="Noto Sans CJK SC"/>
        <family val="2"/>
      </rPr>
      <t xml:space="preserve">美元；</t>
    </r>
    <r>
      <rPr>
        <sz val="10"/>
        <rFont val="Microsoft JhengHei"/>
        <family val="0"/>
        <charset val="1"/>
      </rPr>
      <t xml:space="preserve">Cowork </t>
    </r>
    <r>
      <rPr>
        <sz val="10"/>
        <rFont val="Noto Sans CJK SC"/>
        <family val="2"/>
      </rPr>
      <t xml:space="preserve">於 </t>
    </r>
    <r>
      <rPr>
        <sz val="10"/>
        <rFont val="Microsoft JhengHei"/>
        <family val="0"/>
        <charset val="1"/>
      </rPr>
      <t xml:space="preserve">2026 </t>
    </r>
    <r>
      <rPr>
        <sz val="10"/>
        <rFont val="Noto Sans CJK SC"/>
        <family val="2"/>
      </rPr>
      <t xml:space="preserve">年 </t>
    </r>
    <r>
      <rPr>
        <sz val="10"/>
        <rFont val="Microsoft JhengHei"/>
        <family val="0"/>
        <charset val="1"/>
      </rPr>
      <t xml:space="preserve">4 </t>
    </r>
    <r>
      <rPr>
        <sz val="10"/>
        <rFont val="Noto Sans CJK SC"/>
        <family val="2"/>
      </rPr>
      <t xml:space="preserve">月 </t>
    </r>
    <r>
      <rPr>
        <sz val="10"/>
        <rFont val="Microsoft JhengHei"/>
        <family val="0"/>
        <charset val="1"/>
      </rPr>
      <t xml:space="preserve">GA</t>
    </r>
    <r>
      <rPr>
        <sz val="10"/>
        <rFont val="Noto Sans CJK SC"/>
        <family val="2"/>
      </rPr>
      <t xml:space="preserve">。（注意：本工作簿由 </t>
    </r>
    <r>
      <rPr>
        <sz val="10"/>
        <rFont val="Microsoft JhengHei"/>
        <family val="0"/>
        <charset val="1"/>
      </rPr>
      <t xml:space="preserve">Claude </t>
    </r>
    <r>
      <rPr>
        <sz val="10"/>
        <rFont val="Noto Sans CJK SC"/>
        <family val="2"/>
      </rPr>
      <t xml:space="preserve">產出，</t>
    </r>
    <r>
      <rPr>
        <sz val="10"/>
        <rFont val="Microsoft JhengHei"/>
        <family val="0"/>
        <charset val="1"/>
      </rPr>
      <t xml:space="preserve">Anthropic </t>
    </r>
    <r>
      <rPr>
        <sz val="10"/>
        <rFont val="Noto Sans CJK SC"/>
        <family val="2"/>
      </rPr>
      <t xml:space="preserve">為利益相關方。）</t>
    </r>
  </si>
  <si>
    <r>
      <rPr>
        <sz val="10"/>
        <rFont val="Noto Sans CJK SC"/>
        <family val="2"/>
      </rPr>
      <t xml:space="preserve">託管 </t>
    </r>
    <r>
      <rPr>
        <sz val="10"/>
        <rFont val="Microsoft JhengHei"/>
        <family val="0"/>
        <charset val="1"/>
      </rPr>
      <t xml:space="preserve">agent </t>
    </r>
    <r>
      <rPr>
        <sz val="10"/>
        <rFont val="Noto Sans CJK SC"/>
        <family val="2"/>
      </rPr>
      <t xml:space="preserve">基礎設施已有成熟選項，</t>
    </r>
    <r>
      <rPr>
        <sz val="10"/>
        <rFont val="Microsoft JhengHei"/>
        <family val="0"/>
        <charset val="1"/>
      </rPr>
      <t xml:space="preserve">AIOS </t>
    </r>
    <r>
      <rPr>
        <sz val="10"/>
        <rFont val="Noto Sans CJK SC"/>
        <family val="2"/>
      </rPr>
      <t xml:space="preserve">不必重造。</t>
    </r>
  </si>
  <si>
    <t xml:space="preserve">第三方整理／廠商資訊</t>
  </si>
  <si>
    <t xml:space="preserve">https://mythos.one/me/brianswichkow/1ba4d7</t>
  </si>
  <si>
    <r>
      <rPr>
        <sz val="10"/>
        <rFont val="Microsoft JhengHei"/>
        <family val="0"/>
        <charset val="1"/>
      </rPr>
      <t xml:space="preserve">Azure AI Foundry</t>
    </r>
    <r>
      <rPr>
        <sz val="10"/>
        <rFont val="Noto Sans CJK SC"/>
        <family val="2"/>
      </rPr>
      <t xml:space="preserve">／</t>
    </r>
    <r>
      <rPr>
        <sz val="10"/>
        <rFont val="Microsoft JhengHei"/>
        <family val="0"/>
        <charset val="1"/>
      </rPr>
      <t xml:space="preserve">Google Workspace Studio</t>
    </r>
    <r>
      <rPr>
        <sz val="10"/>
        <rFont val="Noto Sans CJK SC"/>
        <family val="2"/>
      </rPr>
      <t xml:space="preserve">／</t>
    </r>
    <r>
      <rPr>
        <sz val="10"/>
        <rFont val="Microsoft JhengHei"/>
        <family val="0"/>
        <charset val="1"/>
      </rPr>
      <t xml:space="preserve">AWS Bedrock</t>
    </r>
  </si>
  <si>
    <r>
      <rPr>
        <sz val="10"/>
        <rFont val="Noto Sans CJK SC"/>
        <family val="2"/>
      </rPr>
      <t xml:space="preserve">三者是 </t>
    </r>
    <r>
      <rPr>
        <sz val="10"/>
        <rFont val="Microsoft JhengHei"/>
        <family val="0"/>
        <charset val="1"/>
      </rPr>
      <t xml:space="preserve">Frontier </t>
    </r>
    <r>
      <rPr>
        <sz val="10"/>
        <rFont val="Noto Sans CJK SC"/>
        <family val="2"/>
      </rPr>
      <t xml:space="preserve">之外的主要企業平台競爭者。</t>
    </r>
  </si>
  <si>
    <t xml:space="preserve">同上。</t>
  </si>
  <si>
    <t xml:space="preserve">新聞／分析文</t>
  </si>
  <si>
    <t xml:space="preserve">https://algeriatech.news/?p=22501</t>
  </si>
  <si>
    <t xml:space="preserve">標準</t>
  </si>
  <si>
    <t xml:space="preserve">MCP</t>
  </si>
  <si>
    <r>
      <rPr>
        <sz val="10"/>
        <rFont val="Noto Sans CJK SC"/>
        <family val="2"/>
      </rPr>
      <t xml:space="preserve">每月 </t>
    </r>
    <r>
      <rPr>
        <sz val="10"/>
        <rFont val="Microsoft JhengHei"/>
        <family val="0"/>
        <charset val="1"/>
      </rPr>
      <t xml:space="preserve">SDK </t>
    </r>
    <r>
      <rPr>
        <sz val="10"/>
        <rFont val="Noto Sans CJK SC"/>
        <family val="2"/>
      </rPr>
      <t xml:space="preserve">下載量逾 </t>
    </r>
    <r>
      <rPr>
        <sz val="10"/>
        <rFont val="Microsoft JhengHei"/>
        <family val="0"/>
        <charset val="1"/>
      </rPr>
      <t xml:space="preserve">9,700 </t>
    </r>
    <r>
      <rPr>
        <sz val="10"/>
        <rFont val="Noto Sans CJK SC"/>
        <family val="2"/>
      </rPr>
      <t xml:space="preserve">萬、公開伺服器逾萬個（</t>
    </r>
    <r>
      <rPr>
        <sz val="10"/>
        <rFont val="Microsoft JhengHei"/>
        <family val="0"/>
        <charset val="1"/>
      </rPr>
      <t xml:space="preserve">2026 </t>
    </r>
    <r>
      <rPr>
        <sz val="10"/>
        <rFont val="Noto Sans CJK SC"/>
        <family val="2"/>
      </rPr>
      <t xml:space="preserve">年初）。</t>
    </r>
  </si>
  <si>
    <r>
      <rPr>
        <sz val="10"/>
        <rFont val="Noto Sans CJK SC"/>
        <family val="2"/>
      </rPr>
      <t xml:space="preserve">已是事實標準，</t>
    </r>
    <r>
      <rPr>
        <sz val="10"/>
        <rFont val="Microsoft JhengHei"/>
        <family val="0"/>
        <charset val="1"/>
      </rPr>
      <t xml:space="preserve">AIOS </t>
    </r>
    <r>
      <rPr>
        <sz val="10"/>
        <rFont val="Noto Sans CJK SC"/>
        <family val="2"/>
      </rPr>
      <t xml:space="preserve">應同時做客戶端與伺服器端。</t>
    </r>
  </si>
  <si>
    <r>
      <rPr>
        <sz val="10"/>
        <rFont val="Noto Sans CJK SC"/>
        <family val="2"/>
      </rPr>
      <t xml:space="preserve">分析文章（引用 </t>
    </r>
    <r>
      <rPr>
        <sz val="10"/>
        <rFont val="Microsoft JhengHei"/>
        <family val="0"/>
        <charset val="1"/>
      </rPr>
      <t xml:space="preserve">LF</t>
    </r>
    <r>
      <rPr>
        <sz val="10"/>
        <rFont val="Noto Sans CJK SC"/>
        <family val="2"/>
      </rPr>
      <t xml:space="preserve">／</t>
    </r>
    <r>
      <rPr>
        <sz val="10"/>
        <rFont val="Microsoft JhengHei"/>
        <family val="0"/>
        <charset val="1"/>
      </rPr>
      <t xml:space="preserve">Anthropic </t>
    </r>
    <r>
      <rPr>
        <sz val="10"/>
        <rFont val="Noto Sans CJK SC"/>
        <family val="2"/>
      </rPr>
      <t xml:space="preserve">數據）</t>
    </r>
  </si>
  <si>
    <t xml:space="preserve">https://tarrysingh.com/blog/the-agent-stack-just-became-a-standard</t>
  </si>
  <si>
    <t xml:space="preserve">A2A</t>
  </si>
  <si>
    <r>
      <rPr>
        <sz val="10"/>
        <rFont val="Microsoft JhengHei"/>
        <family val="0"/>
        <charset val="1"/>
      </rPr>
      <t xml:space="preserve">2026 </t>
    </r>
    <r>
      <rPr>
        <sz val="10"/>
        <rFont val="Noto Sans CJK SC"/>
        <family val="2"/>
      </rPr>
      <t xml:space="preserve">年 </t>
    </r>
    <r>
      <rPr>
        <sz val="10"/>
        <rFont val="Microsoft JhengHei"/>
        <family val="0"/>
        <charset val="1"/>
      </rPr>
      <t xml:space="preserve">8 </t>
    </r>
    <r>
      <rPr>
        <sz val="10"/>
        <rFont val="Noto Sans CJK SC"/>
        <family val="2"/>
      </rPr>
      <t xml:space="preserve">月 </t>
    </r>
    <r>
      <rPr>
        <sz val="10"/>
        <rFont val="Microsoft JhengHei"/>
        <family val="0"/>
        <charset val="1"/>
      </rPr>
      <t xml:space="preserve">17 </t>
    </r>
    <r>
      <rPr>
        <sz val="10"/>
        <rFont val="Noto Sans CJK SC"/>
        <family val="2"/>
      </rPr>
      <t xml:space="preserve">日成為 </t>
    </r>
    <r>
      <rPr>
        <sz val="10"/>
        <rFont val="Microsoft JhengHei"/>
        <family val="0"/>
        <charset val="1"/>
      </rPr>
      <t xml:space="preserve">Linux Foundation </t>
    </r>
    <r>
      <rPr>
        <sz val="10"/>
        <rFont val="Noto Sans CJK SC"/>
        <family val="2"/>
      </rPr>
      <t xml:space="preserve">旗下 </t>
    </r>
    <r>
      <rPr>
        <sz val="10"/>
        <rFont val="Microsoft JhengHei"/>
        <family val="0"/>
        <charset val="1"/>
      </rPr>
      <t xml:space="preserve">AAIF </t>
    </r>
    <r>
      <rPr>
        <sz val="10"/>
        <rFont val="Noto Sans CJK SC"/>
        <family val="2"/>
      </rPr>
      <t xml:space="preserve">的託管專案，與 </t>
    </r>
    <r>
      <rPr>
        <sz val="10"/>
        <rFont val="Microsoft JhengHei"/>
        <family val="0"/>
        <charset val="1"/>
      </rPr>
      <t xml:space="preserve">MCP </t>
    </r>
    <r>
      <rPr>
        <sz val="10"/>
        <rFont val="Noto Sans CJK SC"/>
        <family val="2"/>
      </rPr>
      <t xml:space="preserve">同屬一個中立基金會。</t>
    </r>
  </si>
  <si>
    <r>
      <rPr>
        <sz val="10"/>
        <rFont val="Noto Sans CJK SC"/>
        <family val="2"/>
      </rPr>
      <t xml:space="preserve">多 </t>
    </r>
    <r>
      <rPr>
        <sz val="10"/>
        <rFont val="Microsoft JhengHei"/>
        <family val="0"/>
        <charset val="1"/>
      </rPr>
      <t xml:space="preserve">agent </t>
    </r>
    <r>
      <rPr>
        <sz val="10"/>
        <rFont val="Noto Sans CJK SC"/>
        <family val="2"/>
      </rPr>
      <t xml:space="preserve">協作應採 </t>
    </r>
    <r>
      <rPr>
        <sz val="10"/>
        <rFont val="Microsoft JhengHei"/>
        <family val="0"/>
        <charset val="1"/>
      </rPr>
      <t xml:space="preserve">A2A</t>
    </r>
    <r>
      <rPr>
        <sz val="10"/>
        <rFont val="Noto Sans CJK SC"/>
        <family val="2"/>
      </rPr>
      <t xml:space="preserve">，而非自訂協定。</t>
    </r>
  </si>
  <si>
    <t xml:space="preserve">https://algeriatech.news/?p=35142</t>
  </si>
  <si>
    <t xml:space="preserve">基礎設施</t>
  </si>
  <si>
    <r>
      <rPr>
        <sz val="10"/>
        <rFont val="Noto Sans CJK SC"/>
        <family val="2"/>
      </rPr>
      <t xml:space="preserve">沙箱（</t>
    </r>
    <r>
      <rPr>
        <sz val="10"/>
        <rFont val="Microsoft JhengHei"/>
        <family val="0"/>
        <charset val="1"/>
      </rPr>
      <t xml:space="preserve">E2B </t>
    </r>
    <r>
      <rPr>
        <sz val="10"/>
        <rFont val="Noto Sans CJK SC"/>
        <family val="2"/>
      </rPr>
      <t xml:space="preserve">等）</t>
    </r>
  </si>
  <si>
    <r>
      <rPr>
        <sz val="10"/>
        <rFont val="Microsoft JhengHei"/>
        <family val="0"/>
        <charset val="1"/>
      </rPr>
      <t xml:space="preserve">E2B </t>
    </r>
    <r>
      <rPr>
        <sz val="10"/>
        <rFont val="Noto Sans CJK SC"/>
        <family val="2"/>
      </rPr>
      <t xml:space="preserve">以 </t>
    </r>
    <r>
      <rPr>
        <sz val="10"/>
        <rFont val="Microsoft JhengHei"/>
        <family val="0"/>
        <charset val="1"/>
      </rPr>
      <t xml:space="preserve">Firecracker microVM </t>
    </r>
    <r>
      <rPr>
        <sz val="10"/>
        <rFont val="Noto Sans CJK SC"/>
        <family val="2"/>
      </rPr>
      <t xml:space="preserve">隔離，約 </t>
    </r>
    <r>
      <rPr>
        <sz val="10"/>
        <rFont val="Microsoft JhengHei"/>
        <family val="0"/>
        <charset val="1"/>
      </rPr>
      <t xml:space="preserve">150ms </t>
    </r>
    <r>
      <rPr>
        <sz val="10"/>
        <rFont val="Noto Sans CJK SC"/>
        <family val="2"/>
      </rPr>
      <t xml:space="preserve">啟動；另有本機免 </t>
    </r>
    <r>
      <rPr>
        <sz val="10"/>
        <rFont val="Microsoft JhengHei"/>
        <family val="0"/>
        <charset val="1"/>
      </rPr>
      <t xml:space="preserve">root </t>
    </r>
    <r>
      <rPr>
        <sz val="10"/>
        <rFont val="Noto Sans CJK SC"/>
        <family val="2"/>
      </rPr>
      <t xml:space="preserve">的 </t>
    </r>
    <r>
      <rPr>
        <sz val="10"/>
        <rFont val="Microsoft JhengHei"/>
        <family val="0"/>
        <charset val="1"/>
      </rPr>
      <t xml:space="preserve">microVM </t>
    </r>
    <r>
      <rPr>
        <sz val="10"/>
        <rFont val="Noto Sans CJK SC"/>
        <family val="2"/>
      </rPr>
      <t xml:space="preserve">方案。</t>
    </r>
  </si>
  <si>
    <r>
      <rPr>
        <sz val="10"/>
        <rFont val="Noto Sans CJK SC"/>
        <family val="2"/>
      </rPr>
      <t xml:space="preserve">可作為 </t>
    </r>
    <r>
      <rPr>
        <sz val="10"/>
        <rFont val="Microsoft JhengHei"/>
        <family val="0"/>
        <charset val="1"/>
      </rPr>
      <t xml:space="preserve">AIOS Sandbox </t>
    </r>
    <r>
      <rPr>
        <sz val="10"/>
        <rFont val="Noto Sans CJK SC"/>
        <family val="2"/>
      </rPr>
      <t xml:space="preserve">的後端選項，不必自己造 </t>
    </r>
    <r>
      <rPr>
        <sz val="10"/>
        <rFont val="Microsoft JhengHei"/>
        <family val="0"/>
        <charset val="1"/>
      </rPr>
      <t xml:space="preserve">microVM</t>
    </r>
    <r>
      <rPr>
        <sz val="10"/>
        <rFont val="Noto Sans CJK SC"/>
        <family val="2"/>
      </rPr>
      <t xml:space="preserve">。</t>
    </r>
  </si>
  <si>
    <t xml:space="preserve">比較文章</t>
  </si>
  <si>
    <t xml:space="preserve">https://www.beam.cloud/blog/best-e2b-alternatives</t>
  </si>
  <si>
    <r>
      <rPr>
        <sz val="10"/>
        <rFont val="Noto Sans CJK SC"/>
        <family val="2"/>
      </rPr>
      <t xml:space="preserve">記憶層（</t>
    </r>
    <r>
      <rPr>
        <sz val="10"/>
        <rFont val="Microsoft JhengHei"/>
        <family val="0"/>
        <charset val="1"/>
      </rPr>
      <t xml:space="preserve">Mem0</t>
    </r>
    <r>
      <rPr>
        <sz val="10"/>
        <rFont val="Noto Sans CJK SC"/>
        <family val="2"/>
      </rPr>
      <t xml:space="preserve">／</t>
    </r>
    <r>
      <rPr>
        <sz val="10"/>
        <rFont val="Microsoft JhengHei"/>
        <family val="0"/>
        <charset val="1"/>
      </rPr>
      <t xml:space="preserve">Zep</t>
    </r>
    <r>
      <rPr>
        <sz val="10"/>
        <rFont val="Noto Sans CJK SC"/>
        <family val="2"/>
      </rPr>
      <t xml:space="preserve">／</t>
    </r>
    <r>
      <rPr>
        <sz val="10"/>
        <rFont val="Microsoft JhengHei"/>
        <family val="0"/>
        <charset val="1"/>
      </rPr>
      <t xml:space="preserve">Letta</t>
    </r>
    <r>
      <rPr>
        <sz val="10"/>
        <rFont val="Noto Sans CJK SC"/>
        <family val="2"/>
      </rPr>
      <t xml:space="preserve">）</t>
    </r>
  </si>
  <si>
    <r>
      <rPr>
        <sz val="10"/>
        <rFont val="Microsoft JhengHei"/>
        <family val="0"/>
        <charset val="1"/>
      </rPr>
      <t xml:space="preserve">Mem0</t>
    </r>
    <r>
      <rPr>
        <sz val="10"/>
        <rFont val="Noto Sans CJK SC"/>
        <family val="2"/>
      </rPr>
      <t xml:space="preserve">＝萃取檢索；</t>
    </r>
    <r>
      <rPr>
        <sz val="10"/>
        <rFont val="Microsoft JhengHei"/>
        <family val="0"/>
        <charset val="1"/>
      </rPr>
      <t xml:space="preserve">Zep</t>
    </r>
    <r>
      <rPr>
        <sz val="10"/>
        <rFont val="Noto Sans CJK SC"/>
        <family val="2"/>
      </rPr>
      <t xml:space="preserve">＝時序知識圖；</t>
    </r>
    <r>
      <rPr>
        <sz val="10"/>
        <rFont val="Microsoft JhengHei"/>
        <family val="0"/>
        <charset val="1"/>
      </rPr>
      <t xml:space="preserve">Letta</t>
    </r>
    <r>
      <rPr>
        <sz val="10"/>
        <rFont val="Noto Sans CJK SC"/>
        <family val="2"/>
      </rPr>
      <t xml:space="preserve">＝自我編輯記憶。跑分因發布者而差異極大：</t>
    </r>
    <r>
      <rPr>
        <sz val="10"/>
        <rFont val="Microsoft JhengHei"/>
        <family val="0"/>
        <charset val="1"/>
      </rPr>
      <t xml:space="preserve">Mem0 </t>
    </r>
    <r>
      <rPr>
        <sz val="10"/>
        <rFont val="Noto Sans CJK SC"/>
        <family val="2"/>
      </rPr>
      <t xml:space="preserve">自報 </t>
    </r>
    <r>
      <rPr>
        <sz val="10"/>
        <rFont val="Microsoft JhengHei"/>
        <family val="0"/>
        <charset val="1"/>
      </rPr>
      <t xml:space="preserve">LongMemEval 93.4</t>
    </r>
    <r>
      <rPr>
        <sz val="10"/>
        <rFont val="Noto Sans CJK SC"/>
        <family val="2"/>
      </rPr>
      <t xml:space="preserve">（</t>
    </r>
    <r>
      <rPr>
        <sz val="10"/>
        <rFont val="Microsoft JhengHei"/>
        <family val="0"/>
        <charset val="1"/>
      </rPr>
      <t xml:space="preserve">Zep 71.2</t>
    </r>
    <r>
      <rPr>
        <sz val="10"/>
        <rFont val="Noto Sans CJK SC"/>
        <family val="2"/>
      </rPr>
      <t xml:space="preserve">），獨立評測則為 </t>
    </r>
    <r>
      <rPr>
        <sz val="10"/>
        <rFont val="Microsoft JhengHei"/>
        <family val="0"/>
        <charset val="1"/>
      </rPr>
      <t xml:space="preserve">Zep 63.8</t>
    </r>
    <r>
      <rPr>
        <sz val="10"/>
        <rFont val="Noto Sans CJK SC"/>
        <family val="2"/>
      </rPr>
      <t xml:space="preserve">、</t>
    </r>
    <r>
      <rPr>
        <sz val="10"/>
        <rFont val="Microsoft JhengHei"/>
        <family val="0"/>
        <charset val="1"/>
      </rPr>
      <t xml:space="preserve">Mem0 49.0</t>
    </r>
    <r>
      <rPr>
        <sz val="10"/>
        <rFont val="Noto Sans CJK SC"/>
        <family val="2"/>
      </rPr>
      <t xml:space="preserve">。</t>
    </r>
  </si>
  <si>
    <t xml:space="preserve">記憶要用自己的資料實測，不要只看廠商跑分。</t>
  </si>
  <si>
    <t xml:space="preserve">廠商部落格／獨立評測（結論互相矛盾）</t>
  </si>
  <si>
    <t xml:space="preserve">https://www.developersdigest.tech/blog/best-ai-agent-memory-providers-2026</t>
  </si>
  <si>
    <t xml:space="preserve">中國／亞洲</t>
  </si>
  <si>
    <r>
      <rPr>
        <sz val="10"/>
        <rFont val="Noto Sans CJK SC"/>
        <family val="2"/>
      </rPr>
      <t xml:space="preserve">智譜 </t>
    </r>
    <r>
      <rPr>
        <sz val="10"/>
        <rFont val="Microsoft JhengHei"/>
        <family val="0"/>
        <charset val="1"/>
      </rPr>
      <t xml:space="preserve">AutoGLM</t>
    </r>
  </si>
  <si>
    <r>
      <rPr>
        <sz val="10"/>
        <rFont val="Noto Sans CJK SC"/>
        <family val="2"/>
      </rPr>
      <t xml:space="preserve">開源手機 </t>
    </r>
    <r>
      <rPr>
        <sz val="10"/>
        <rFont val="Microsoft JhengHei"/>
        <family val="0"/>
        <charset val="1"/>
      </rPr>
      <t xml:space="preserve">agent </t>
    </r>
    <r>
      <rPr>
        <sz val="10"/>
        <rFont val="Noto Sans CJK SC"/>
        <family val="2"/>
      </rPr>
      <t xml:space="preserve">框架（目前僅支援 </t>
    </r>
    <r>
      <rPr>
        <sz val="10"/>
        <rFont val="Microsoft JhengHei"/>
        <family val="0"/>
        <charset val="1"/>
      </rPr>
      <t xml:space="preserve">Android</t>
    </r>
    <r>
      <rPr>
        <sz val="10"/>
        <rFont val="Noto Sans CJK SC"/>
        <family val="2"/>
      </rPr>
      <t xml:space="preserve">），涵蓋 </t>
    </r>
    <r>
      <rPr>
        <sz val="10"/>
        <rFont val="Microsoft JhengHei"/>
        <family val="0"/>
        <charset val="1"/>
      </rPr>
      <t xml:space="preserve">50 </t>
    </r>
    <r>
      <rPr>
        <sz val="10"/>
        <rFont val="Noto Sans CJK SC"/>
        <family val="2"/>
      </rPr>
      <t xml:space="preserve">多個常用中國 </t>
    </r>
    <r>
      <rPr>
        <sz val="10"/>
        <rFont val="Microsoft JhengHei"/>
        <family val="0"/>
        <charset val="1"/>
      </rPr>
      <t xml:space="preserve">App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</si>
  <si>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手機操作型 </t>
    </r>
    <r>
      <rPr>
        <sz val="10"/>
        <rFont val="Microsoft JhengHei"/>
        <family val="0"/>
        <charset val="1"/>
      </rPr>
      <t xml:space="preserve">agent </t>
    </r>
    <r>
      <rPr>
        <sz val="10"/>
        <rFont val="Noto Sans CJK SC"/>
        <family val="2"/>
      </rPr>
      <t xml:space="preserve">在中國已開源化；</t>
    </r>
    <r>
      <rPr>
        <sz val="10"/>
        <rFont val="Microsoft JhengHei"/>
        <family val="0"/>
        <charset val="1"/>
      </rPr>
      <t xml:space="preserve">AIOS </t>
    </r>
    <r>
      <rPr>
        <sz val="10"/>
        <rFont val="Noto Sans CJK SC"/>
        <family val="2"/>
      </rPr>
      <t xml:space="preserve">非主戰場。</t>
    </r>
  </si>
  <si>
    <t xml:space="preserve">新聞</t>
  </si>
  <si>
    <t xml:space="preserve">https://www.scmp.com/tech/tech-trends/article/3335746/chinas-zai-open-sources-ai-agent-tool-phones-after-bytedance-privacy-backlash</t>
  </si>
  <si>
    <r>
      <rPr>
        <sz val="10"/>
        <rFont val="Microsoft JhengHei"/>
        <family val="0"/>
        <charset val="1"/>
      </rPr>
      <t xml:space="preserve">ZTE NaviX</t>
    </r>
    <r>
      <rPr>
        <sz val="10"/>
        <rFont val="Noto Sans CJK SC"/>
        <family val="2"/>
      </rPr>
      <t xml:space="preserve">＋豆包</t>
    </r>
  </si>
  <si>
    <r>
      <rPr>
        <sz val="10"/>
        <rFont val="Noto Sans CJK SC"/>
        <family val="2"/>
      </rPr>
      <t xml:space="preserve">搭載豆包 </t>
    </r>
    <r>
      <rPr>
        <sz val="10"/>
        <rFont val="Microsoft JhengHei"/>
        <family val="0"/>
        <charset val="1"/>
      </rPr>
      <t xml:space="preserve">agent </t>
    </r>
    <r>
      <rPr>
        <sz val="10"/>
        <rFont val="Noto Sans CJK SC"/>
        <family val="2"/>
      </rPr>
      <t xml:space="preserve">的手機，首批 </t>
    </r>
    <r>
      <rPr>
        <sz val="10"/>
        <rFont val="Microsoft JhengHei"/>
        <family val="0"/>
        <charset val="1"/>
      </rPr>
      <t xml:space="preserve">3 </t>
    </r>
    <r>
      <rPr>
        <sz val="10"/>
        <rFont val="Noto Sans CJK SC"/>
        <family val="2"/>
      </rPr>
      <t xml:space="preserve">萬台迅速售罄；</t>
    </r>
    <r>
      <rPr>
        <sz val="10"/>
        <rFont val="Microsoft JhengHei"/>
        <family val="0"/>
        <charset val="1"/>
      </rPr>
      <t xml:space="preserve">IDC </t>
    </r>
    <r>
      <rPr>
        <sz val="10"/>
        <rFont val="Noto Sans CJK SC"/>
        <family val="2"/>
      </rPr>
      <t xml:space="preserve">預期 </t>
    </r>
    <r>
      <rPr>
        <sz val="10"/>
        <rFont val="Microsoft JhengHei"/>
        <family val="0"/>
        <charset val="1"/>
      </rPr>
      <t xml:space="preserve">AI </t>
    </r>
    <r>
      <rPr>
        <sz val="10"/>
        <rFont val="Noto Sans CJK SC"/>
        <family val="2"/>
      </rPr>
      <t xml:space="preserve">手機將佔中國市場過半。</t>
    </r>
  </si>
  <si>
    <r>
      <rPr>
        <sz val="10"/>
        <rFont val="Noto Sans CJK SC"/>
        <family val="2"/>
      </rPr>
      <t xml:space="preserve">硬體端 </t>
    </r>
    <r>
      <rPr>
        <sz val="10"/>
        <rFont val="Microsoft JhengHei"/>
        <family val="0"/>
        <charset val="1"/>
      </rPr>
      <t xml:space="preserve">agent </t>
    </r>
    <r>
      <rPr>
        <sz val="10"/>
        <rFont val="Noto Sans CJK SC"/>
        <family val="2"/>
      </rPr>
      <t xml:space="preserve">化趨勢明確。</t>
    </r>
  </si>
  <si>
    <t xml:space="preserve">https://www.thenextweb.com/news/china-agentic-ai-smartphones-zte-navix-doubao-waic</t>
  </si>
  <si>
    <t xml:space="preserve">#</t>
  </si>
  <si>
    <t xml:space="preserve">領域</t>
  </si>
  <si>
    <r>
      <rPr>
        <b val="true"/>
        <sz val="10"/>
        <color rgb="FFFFFFFF"/>
        <rFont val="Microsoft JhengHei"/>
        <family val="0"/>
        <charset val="1"/>
      </rPr>
      <t xml:space="preserve">AIOS </t>
    </r>
    <r>
      <rPr>
        <b val="true"/>
        <sz val="10"/>
        <color rgb="FFFFFFFF"/>
        <rFont val="Noto Sans CJK SC"/>
        <family val="2"/>
      </rPr>
      <t xml:space="preserve">現況</t>
    </r>
  </si>
  <si>
    <t xml:space="preserve">世界上的參照</t>
  </si>
  <si>
    <t xml:space="preserve">嚴重度</t>
  </si>
  <si>
    <t xml:space="preserve">對應階段</t>
  </si>
  <si>
    <t xml:space="preserve">狀態</t>
  </si>
  <si>
    <t xml:space="preserve">安全：提示注入</t>
  </si>
  <si>
    <t xml:space="preserve">僅有權限清單，沒有不可信內容標記</t>
  </si>
  <si>
    <r>
      <rPr>
        <sz val="10"/>
        <rFont val="Noto Sans CJK SC"/>
        <family val="2"/>
      </rPr>
      <t xml:space="preserve">研究顯示污染 </t>
    </r>
    <r>
      <rPr>
        <sz val="10"/>
        <rFont val="Microsoft JhengHei"/>
        <family val="0"/>
        <charset val="1"/>
      </rPr>
      <t xml:space="preserve">agent </t>
    </r>
    <r>
      <rPr>
        <sz val="10"/>
        <rFont val="Noto Sans CJK SC"/>
        <family val="2"/>
      </rPr>
      <t xml:space="preserve">的能力／身分／知識任一面，攻擊成功率由 </t>
    </r>
    <r>
      <rPr>
        <sz val="10"/>
        <rFont val="Microsoft JhengHei"/>
        <family val="0"/>
        <charset val="1"/>
      </rPr>
      <t xml:space="preserve">24.6% </t>
    </r>
    <r>
      <rPr>
        <sz val="10"/>
        <rFont val="Noto Sans CJK SC"/>
        <family val="2"/>
      </rPr>
      <t xml:space="preserve">升至 </t>
    </r>
    <r>
      <rPr>
        <sz val="10"/>
        <rFont val="Microsoft JhengHei"/>
        <family val="0"/>
        <charset val="1"/>
      </rPr>
      <t xml:space="preserve">64–74%</t>
    </r>
    <r>
      <rPr>
        <sz val="10"/>
        <rFont val="Noto Sans CJK SC"/>
        <family val="2"/>
      </rPr>
      <t xml:space="preserve">，最強防禦仍有 </t>
    </r>
    <r>
      <rPr>
        <sz val="10"/>
        <rFont val="Microsoft JhengHei"/>
        <family val="0"/>
        <charset val="1"/>
      </rPr>
      <t xml:space="preserve">63.8% </t>
    </r>
    <r>
      <rPr>
        <sz val="10"/>
        <rFont val="Noto Sans CJK SC"/>
        <family val="2"/>
      </rPr>
      <t xml:space="preserve">成功率，需要架構層防線</t>
    </r>
  </si>
  <si>
    <t xml:space="preserve">高</t>
  </si>
  <si>
    <t xml:space="preserve">人類審批</t>
  </si>
  <si>
    <t xml:space="preserve">高風險工具直接執行，無確認</t>
  </si>
  <si>
    <r>
      <rPr>
        <sz val="10"/>
        <rFont val="Microsoft JhengHei"/>
        <family val="0"/>
        <charset val="1"/>
      </rPr>
      <t xml:space="preserve">Windows </t>
    </r>
    <r>
      <rPr>
        <sz val="10"/>
        <rFont val="Noto Sans CJK SC"/>
        <family val="2"/>
      </rPr>
      <t xml:space="preserve">有 </t>
    </r>
    <r>
      <rPr>
        <sz val="10"/>
        <rFont val="Microsoft JhengHei"/>
        <family val="0"/>
        <charset val="1"/>
      </rPr>
      <t xml:space="preserve">OS </t>
    </r>
    <r>
      <rPr>
        <sz val="10"/>
        <rFont val="Noto Sans CJK SC"/>
        <family val="2"/>
      </rPr>
      <t xml:space="preserve">層同意與稽核；</t>
    </r>
    <r>
      <rPr>
        <sz val="10"/>
        <rFont val="Microsoft JhengHei"/>
        <family val="0"/>
        <charset val="1"/>
      </rPr>
      <t xml:space="preserve">Frontier </t>
    </r>
    <r>
      <rPr>
        <sz val="10"/>
        <rFont val="Noto Sans CJK SC"/>
        <family val="2"/>
      </rPr>
      <t xml:space="preserve">有範圍受限的權限</t>
    </r>
  </si>
  <si>
    <t xml:space="preserve">審計日誌</t>
  </si>
  <si>
    <t xml:space="preserve">僅有對話歷史，無動作稽核</t>
  </si>
  <si>
    <r>
      <rPr>
        <sz val="10"/>
        <rFont val="Microsoft JhengHei"/>
        <family val="0"/>
        <charset val="1"/>
      </rPr>
      <t xml:space="preserve">Windows Agent ID </t>
    </r>
    <r>
      <rPr>
        <sz val="10"/>
        <rFont val="Noto Sans CJK SC"/>
        <family val="2"/>
      </rPr>
      <t xml:space="preserve">與稽核；</t>
    </r>
    <r>
      <rPr>
        <sz val="10"/>
        <rFont val="Microsoft JhengHei"/>
        <family val="0"/>
        <charset val="1"/>
      </rPr>
      <t xml:space="preserve">Managed Agents </t>
    </r>
    <r>
      <rPr>
        <sz val="10"/>
        <rFont val="Noto Sans CJK SC"/>
        <family val="2"/>
      </rPr>
      <t xml:space="preserve">具追蹤</t>
    </r>
  </si>
  <si>
    <t xml:space="preserve">成本與步數上限</t>
  </si>
  <si>
    <r>
      <rPr>
        <sz val="10"/>
        <rFont val="Noto Sans CJK SC"/>
        <family val="2"/>
      </rPr>
      <t xml:space="preserve">只有單輪 </t>
    </r>
    <r>
      <rPr>
        <sz val="10"/>
        <rFont val="Microsoft JhengHei"/>
        <family val="0"/>
        <charset val="1"/>
      </rPr>
      <t xml:space="preserve">8 </t>
    </r>
    <r>
      <rPr>
        <sz val="10"/>
        <rFont val="Noto Sans CJK SC"/>
        <family val="2"/>
      </rPr>
      <t xml:space="preserve">步上限，無預算控管</t>
    </r>
  </si>
  <si>
    <r>
      <rPr>
        <sz val="10"/>
        <rFont val="Microsoft JhengHei"/>
        <family val="0"/>
        <charset val="1"/>
      </rPr>
      <t xml:space="preserve">OpenClaw </t>
    </r>
    <r>
      <rPr>
        <sz val="10"/>
        <rFont val="Noto Sans CJK SC"/>
        <family val="2"/>
      </rPr>
      <t xml:space="preserve">曾一夜燒約 </t>
    </r>
    <r>
      <rPr>
        <sz val="10"/>
        <rFont val="Microsoft JhengHei"/>
        <family val="0"/>
        <charset val="1"/>
      </rPr>
      <t xml:space="preserve">20 </t>
    </r>
    <r>
      <rPr>
        <sz val="10"/>
        <rFont val="Noto Sans CJK SC"/>
        <family val="2"/>
      </rPr>
      <t xml:space="preserve">美元 </t>
    </r>
    <r>
      <rPr>
        <sz val="10"/>
        <rFont val="Microsoft JhengHei"/>
        <family val="0"/>
        <charset val="1"/>
      </rPr>
      <t xml:space="preserve">API </t>
    </r>
    <r>
      <rPr>
        <sz val="10"/>
        <rFont val="Noto Sans CJK SC"/>
        <family val="2"/>
      </rPr>
      <t xml:space="preserve">額度</t>
    </r>
  </si>
  <si>
    <t xml:space="preserve">中</t>
  </si>
  <si>
    <t xml:space="preserve">資料外洩防護</t>
  </si>
  <si>
    <r>
      <rPr>
        <sz val="10"/>
        <rFont val="Noto Sans CJK SC"/>
        <family val="2"/>
      </rPr>
      <t xml:space="preserve">沙箱隔離程式，但擋不住 </t>
    </r>
    <r>
      <rPr>
        <sz val="10"/>
        <rFont val="Microsoft JhengHei"/>
        <family val="0"/>
        <charset val="1"/>
      </rPr>
      <t xml:space="preserve">agent </t>
    </r>
    <r>
      <rPr>
        <sz val="10"/>
        <rFont val="Noto Sans CJK SC"/>
        <family val="2"/>
      </rPr>
      <t xml:space="preserve">把敏感資料寫進回覆</t>
    </r>
  </si>
  <si>
    <r>
      <rPr>
        <sz val="10"/>
        <rFont val="Noto Sans CJK SC"/>
        <family val="2"/>
      </rPr>
      <t xml:space="preserve">資安文章指出完美隔離無法阻止 </t>
    </r>
    <r>
      <rPr>
        <sz val="10"/>
        <rFont val="Microsoft JhengHei"/>
        <family val="0"/>
        <charset val="1"/>
      </rPr>
      <t xml:space="preserve">agent </t>
    </r>
    <r>
      <rPr>
        <sz val="10"/>
        <rFont val="Noto Sans CJK SC"/>
        <family val="2"/>
      </rPr>
      <t xml:space="preserve">自己外洩資料</t>
    </r>
  </si>
  <si>
    <t xml:space="preserve">技能／外掛供應鏈</t>
  </si>
  <si>
    <r>
      <rPr>
        <sz val="10"/>
        <rFont val="Microsoft JhengHei"/>
        <family val="0"/>
        <charset val="1"/>
      </rPr>
      <t xml:space="preserve">MCP </t>
    </r>
    <r>
      <rPr>
        <sz val="10"/>
        <rFont val="Noto Sans CJK SC"/>
        <family val="2"/>
      </rPr>
      <t xml:space="preserve">靠手動授權，無簽章與掃描</t>
    </r>
  </si>
  <si>
    <r>
      <rPr>
        <sz val="10"/>
        <rFont val="Microsoft JhengHei"/>
        <family val="0"/>
        <charset val="1"/>
      </rPr>
      <t xml:space="preserve">ClawHub </t>
    </r>
    <r>
      <rPr>
        <sz val="10"/>
        <rFont val="Noto Sans CJK SC"/>
        <family val="2"/>
      </rPr>
      <t xml:space="preserve">出現 </t>
    </r>
    <r>
      <rPr>
        <sz val="10"/>
        <rFont val="Microsoft JhengHei"/>
        <family val="0"/>
        <charset val="1"/>
      </rPr>
      <t xml:space="preserve">341 </t>
    </r>
    <r>
      <rPr>
        <sz val="10"/>
        <rFont val="Noto Sans CJK SC"/>
        <family val="2"/>
      </rPr>
      <t xml:space="preserve">個惡意技能</t>
    </r>
  </si>
  <si>
    <t xml:space="preserve">多模型支援</t>
  </si>
  <si>
    <r>
      <rPr>
        <sz val="10"/>
        <rFont val="Noto Sans CJK SC"/>
        <family val="2"/>
      </rPr>
      <t xml:space="preserve">只支援 </t>
    </r>
    <r>
      <rPr>
        <sz val="10"/>
        <rFont val="Microsoft JhengHei"/>
        <family val="0"/>
        <charset val="1"/>
      </rPr>
      <t xml:space="preserve">Claude</t>
    </r>
  </si>
  <si>
    <r>
      <rPr>
        <sz val="10"/>
        <rFont val="Noto Sans CJK SC"/>
        <family val="2"/>
      </rPr>
      <t xml:space="preserve">企業平台多開放第三方 </t>
    </r>
    <r>
      <rPr>
        <sz val="10"/>
        <rFont val="Microsoft JhengHei"/>
        <family val="0"/>
        <charset val="1"/>
      </rPr>
      <t xml:space="preserve">agent</t>
    </r>
    <r>
      <rPr>
        <sz val="10"/>
        <rFont val="Noto Sans CJK SC"/>
        <family val="2"/>
      </rPr>
      <t xml:space="preserve">；本機模型可作低成本層</t>
    </r>
  </si>
  <si>
    <t xml:space="preserve">自動化測試</t>
  </si>
  <si>
    <t xml:space="preserve">僅臨時測試，無正式測試套件</t>
  </si>
  <si>
    <t xml:space="preserve">—</t>
  </si>
  <si>
    <t xml:space="preserve">記憶系統</t>
  </si>
  <si>
    <r>
      <rPr>
        <sz val="10"/>
        <rFont val="Noto Sans CJK SC"/>
        <family val="2"/>
      </rPr>
      <t xml:space="preserve">鍵值＋最近 </t>
    </r>
    <r>
      <rPr>
        <sz val="10"/>
        <rFont val="Microsoft JhengHei"/>
        <family val="0"/>
        <charset val="1"/>
      </rPr>
      <t xml:space="preserve">40 </t>
    </r>
    <r>
      <rPr>
        <sz val="10"/>
        <rFont val="Noto Sans CJK SC"/>
        <family val="2"/>
      </rPr>
      <t xml:space="preserve">則歷史，無語義檢索</t>
    </r>
  </si>
  <si>
    <r>
      <rPr>
        <sz val="10"/>
        <rFont val="Microsoft JhengHei"/>
        <family val="0"/>
        <charset val="1"/>
      </rPr>
      <t xml:space="preserve">Mem0</t>
    </r>
    <r>
      <rPr>
        <sz val="10"/>
        <rFont val="Noto Sans CJK SC"/>
        <family val="2"/>
      </rPr>
      <t xml:space="preserve">／</t>
    </r>
    <r>
      <rPr>
        <sz val="10"/>
        <rFont val="Microsoft JhengHei"/>
        <family val="0"/>
        <charset val="1"/>
      </rPr>
      <t xml:space="preserve">Zep</t>
    </r>
    <r>
      <rPr>
        <sz val="10"/>
        <rFont val="Noto Sans CJK SC"/>
        <family val="2"/>
      </rPr>
      <t xml:space="preserve">／</t>
    </r>
    <r>
      <rPr>
        <sz val="10"/>
        <rFont val="Microsoft JhengHei"/>
        <family val="0"/>
        <charset val="1"/>
      </rPr>
      <t xml:space="preserve">Letta </t>
    </r>
    <r>
      <rPr>
        <sz val="10"/>
        <rFont val="Noto Sans CJK SC"/>
        <family val="2"/>
      </rPr>
      <t xml:space="preserve">提供萃取、時序圖、自我編輯等</t>
    </r>
  </si>
  <si>
    <r>
      <rPr>
        <sz val="10"/>
        <rFont val="Microsoft JhengHei"/>
        <family val="0"/>
        <charset val="1"/>
      </rPr>
      <t xml:space="preserve">MCP </t>
    </r>
    <r>
      <rPr>
        <sz val="10"/>
        <rFont val="Noto Sans CJK SC"/>
        <family val="2"/>
      </rPr>
      <t xml:space="preserve">伺服器模式</t>
    </r>
  </si>
  <si>
    <r>
      <rPr>
        <sz val="10"/>
        <rFont val="Noto Sans CJK SC"/>
        <family val="2"/>
      </rPr>
      <t xml:space="preserve">只有 </t>
    </r>
    <r>
      <rPr>
        <sz val="10"/>
        <rFont val="Microsoft JhengHei"/>
        <family val="0"/>
        <charset val="1"/>
      </rPr>
      <t xml:space="preserve">MCP </t>
    </r>
    <r>
      <rPr>
        <sz val="10"/>
        <rFont val="Noto Sans CJK SC"/>
        <family val="2"/>
      </rPr>
      <t xml:space="preserve">客戶端</t>
    </r>
  </si>
  <si>
    <r>
      <rPr>
        <sz val="10"/>
        <rFont val="Microsoft JhengHei"/>
        <family val="0"/>
        <charset val="1"/>
      </rPr>
      <t xml:space="preserve">MCP </t>
    </r>
    <r>
      <rPr>
        <sz val="10"/>
        <rFont val="Noto Sans CJK SC"/>
        <family val="2"/>
      </rPr>
      <t xml:space="preserve">已是事實標準</t>
    </r>
  </si>
  <si>
    <r>
      <rPr>
        <sz val="10"/>
        <rFont val="Microsoft JhengHei"/>
        <family val="0"/>
        <charset val="1"/>
      </rPr>
      <t xml:space="preserve">Windows </t>
    </r>
    <r>
      <rPr>
        <sz val="10"/>
        <rFont val="Noto Sans CJK SC"/>
        <family val="2"/>
      </rPr>
      <t xml:space="preserve">沙箱</t>
    </r>
  </si>
  <si>
    <r>
      <rPr>
        <sz val="10"/>
        <rFont val="Microsoft JhengHei"/>
        <family val="0"/>
        <charset val="1"/>
      </rPr>
      <t xml:space="preserve">Windows </t>
    </r>
    <r>
      <rPr>
        <sz val="10"/>
        <rFont val="Noto Sans CJK SC"/>
        <family val="2"/>
      </rPr>
      <t xml:space="preserve">上只有逾時，</t>
    </r>
    <r>
      <rPr>
        <sz val="10"/>
        <rFont val="Microsoft JhengHei"/>
        <family val="0"/>
        <charset val="1"/>
      </rPr>
      <t xml:space="preserve">run_python </t>
    </r>
    <r>
      <rPr>
        <sz val="10"/>
        <rFont val="Noto Sans CJK SC"/>
        <family val="2"/>
      </rPr>
      <t xml:space="preserve">預設停用</t>
    </r>
  </si>
  <si>
    <r>
      <rPr>
        <sz val="10"/>
        <rFont val="Microsoft JhengHei"/>
        <family val="0"/>
        <charset val="1"/>
      </rPr>
      <t xml:space="preserve">WSL2</t>
    </r>
    <r>
      <rPr>
        <sz val="10"/>
        <rFont val="Noto Sans CJK SC"/>
        <family val="2"/>
      </rPr>
      <t xml:space="preserve">／</t>
    </r>
    <r>
      <rPr>
        <sz val="10"/>
        <rFont val="Microsoft JhengHei"/>
        <family val="0"/>
        <charset val="1"/>
      </rPr>
      <t xml:space="preserve">Docker</t>
    </r>
    <r>
      <rPr>
        <sz val="10"/>
        <rFont val="Noto Sans CJK SC"/>
        <family val="2"/>
      </rPr>
      <t xml:space="preserve">／</t>
    </r>
    <r>
      <rPr>
        <sz val="10"/>
        <rFont val="Microsoft JhengHei"/>
        <family val="0"/>
        <charset val="1"/>
      </rPr>
      <t xml:space="preserve">microVM </t>
    </r>
    <r>
      <rPr>
        <sz val="10"/>
        <rFont val="Noto Sans CJK SC"/>
        <family val="2"/>
      </rPr>
      <t xml:space="preserve">後端</t>
    </r>
  </si>
  <si>
    <r>
      <rPr>
        <sz val="10"/>
        <rFont val="Noto Sans CJK SC"/>
        <family val="2"/>
      </rPr>
      <t xml:space="preserve">多 </t>
    </r>
    <r>
      <rPr>
        <sz val="10"/>
        <rFont val="Microsoft JhengHei"/>
        <family val="0"/>
        <charset val="1"/>
      </rPr>
      <t xml:space="preserve">agent</t>
    </r>
    <r>
      <rPr>
        <sz val="10"/>
        <rFont val="Noto Sans CJK SC"/>
        <family val="2"/>
      </rPr>
      <t xml:space="preserve">／</t>
    </r>
    <r>
      <rPr>
        <sz val="10"/>
        <rFont val="Microsoft JhengHei"/>
        <family val="0"/>
        <charset val="1"/>
      </rPr>
      <t xml:space="preserve">A2A</t>
    </r>
  </si>
  <si>
    <r>
      <rPr>
        <sz val="10"/>
        <rFont val="Noto Sans CJK SC"/>
        <family val="2"/>
      </rPr>
      <t xml:space="preserve">各 </t>
    </r>
    <r>
      <rPr>
        <sz val="10"/>
        <rFont val="Microsoft JhengHei"/>
        <family val="0"/>
        <charset val="1"/>
      </rPr>
      <t xml:space="preserve">agent </t>
    </r>
    <r>
      <rPr>
        <sz val="10"/>
        <rFont val="Noto Sans CJK SC"/>
        <family val="2"/>
      </rPr>
      <t xml:space="preserve">互相獨立，無通訊協定</t>
    </r>
  </si>
  <si>
    <r>
      <rPr>
        <sz val="10"/>
        <rFont val="Microsoft JhengHei"/>
        <family val="0"/>
        <charset val="1"/>
      </rPr>
      <t xml:space="preserve">A2A </t>
    </r>
    <r>
      <rPr>
        <sz val="10"/>
        <rFont val="Noto Sans CJK SC"/>
        <family val="2"/>
      </rPr>
      <t xml:space="preserve">已進 </t>
    </r>
    <r>
      <rPr>
        <sz val="10"/>
        <rFont val="Microsoft JhengHei"/>
        <family val="0"/>
        <charset val="1"/>
      </rPr>
      <t xml:space="preserve">AAIF</t>
    </r>
  </si>
  <si>
    <r>
      <rPr>
        <sz val="10"/>
        <rFont val="Noto Sans CJK SC"/>
        <family val="2"/>
      </rPr>
      <t xml:space="preserve">控制台 </t>
    </r>
    <r>
      <rPr>
        <sz val="10"/>
        <rFont val="Microsoft JhengHei"/>
        <family val="0"/>
        <charset val="1"/>
      </rPr>
      <t xml:space="preserve">UI</t>
    </r>
  </si>
  <si>
    <r>
      <rPr>
        <sz val="10"/>
        <rFont val="Noto Sans CJK SC"/>
        <family val="2"/>
      </rPr>
      <t xml:space="preserve">只有 </t>
    </r>
    <r>
      <rPr>
        <sz val="10"/>
        <rFont val="Microsoft JhengHei"/>
        <family val="0"/>
        <charset val="1"/>
      </rPr>
      <t xml:space="preserve">CLI</t>
    </r>
  </si>
  <si>
    <r>
      <rPr>
        <sz val="10"/>
        <rFont val="Noto Sans CJK SC"/>
        <family val="2"/>
      </rPr>
      <t xml:space="preserve">競品多有 </t>
    </r>
    <r>
      <rPr>
        <sz val="10"/>
        <rFont val="Microsoft JhengHei"/>
        <family val="0"/>
        <charset val="1"/>
      </rPr>
      <t xml:space="preserve">Web </t>
    </r>
    <r>
      <rPr>
        <sz val="10"/>
        <rFont val="Noto Sans CJK SC"/>
        <family val="2"/>
      </rPr>
      <t xml:space="preserve">控制台</t>
    </r>
  </si>
  <si>
    <t xml:space="preserve">低</t>
  </si>
  <si>
    <t xml:space="preserve">排程與觸發</t>
  </si>
  <si>
    <t xml:space="preserve">只有即時佇列</t>
  </si>
  <si>
    <r>
      <rPr>
        <sz val="10"/>
        <rFont val="Microsoft JhengHei"/>
        <family val="0"/>
        <charset val="1"/>
      </rPr>
      <t xml:space="preserve">Managed Agents </t>
    </r>
    <r>
      <rPr>
        <sz val="10"/>
        <rFont val="Noto Sans CJK SC"/>
        <family val="2"/>
      </rPr>
      <t xml:space="preserve">有 </t>
    </r>
    <r>
      <rPr>
        <sz val="10"/>
        <rFont val="Microsoft JhengHei"/>
        <family val="0"/>
        <charset val="1"/>
      </rPr>
      <t xml:space="preserve">webhook </t>
    </r>
    <r>
      <rPr>
        <sz val="10"/>
        <rFont val="Noto Sans CJK SC"/>
        <family val="2"/>
      </rPr>
      <t xml:space="preserve">與背景執行</t>
    </r>
  </si>
  <si>
    <t xml:space="preserve">階段</t>
  </si>
  <si>
    <t xml:space="preserve">時間範圍（原規劃）</t>
  </si>
  <si>
    <t xml:space="preserve">起始月</t>
  </si>
  <si>
    <t xml:space="preserve">結束月</t>
  </si>
  <si>
    <t xml:space="preserve">完成標準</t>
  </si>
  <si>
    <r>
      <rPr>
        <sz val="10"/>
        <rFont val="Microsoft JhengHei"/>
        <family val="0"/>
        <charset val="1"/>
      </rPr>
      <t xml:space="preserve">0–2 </t>
    </r>
    <r>
      <rPr>
        <sz val="10"/>
        <rFont val="Noto Sans CJK SC"/>
        <family val="2"/>
      </rPr>
      <t xml:space="preserve">週</t>
    </r>
  </si>
  <si>
    <t xml:space="preserve">每個動作可追溯，超額會中止</t>
  </si>
  <si>
    <r>
      <rPr>
        <sz val="10"/>
        <rFont val="Microsoft JhengHei"/>
        <family val="0"/>
        <charset val="1"/>
      </rPr>
      <t xml:space="preserve">1–2 </t>
    </r>
    <r>
      <rPr>
        <sz val="10"/>
        <rFont val="Noto Sans CJK SC"/>
        <family val="2"/>
      </rPr>
      <t xml:space="preserve">月</t>
    </r>
  </si>
  <si>
    <t xml:space="preserve">能通過自建的提示注入測試集</t>
  </si>
  <si>
    <r>
      <rPr>
        <sz val="10"/>
        <rFont val="Microsoft JhengHei"/>
        <family val="0"/>
        <charset val="1"/>
      </rPr>
      <t xml:space="preserve">3–4 </t>
    </r>
    <r>
      <rPr>
        <sz val="10"/>
        <rFont val="Noto Sans CJK SC"/>
        <family val="2"/>
      </rPr>
      <t xml:space="preserve">月</t>
    </r>
  </si>
  <si>
    <r>
      <rPr>
        <sz val="10"/>
        <rFont val="Noto Sans CJK SC"/>
        <family val="2"/>
      </rPr>
      <t xml:space="preserve">一鍵跑多 </t>
    </r>
    <r>
      <rPr>
        <sz val="10"/>
        <rFont val="Microsoft JhengHei"/>
        <family val="0"/>
        <charset val="1"/>
      </rPr>
      <t xml:space="preserve">agent</t>
    </r>
    <r>
      <rPr>
        <sz val="10"/>
        <rFont val="Noto Sans CJK SC"/>
        <family val="2"/>
      </rPr>
      <t xml:space="preserve">，</t>
    </r>
    <r>
      <rPr>
        <sz val="10"/>
        <rFont val="Microsoft JhengHei"/>
        <family val="0"/>
        <charset val="1"/>
      </rPr>
      <t xml:space="preserve">Windows </t>
    </r>
    <r>
      <rPr>
        <sz val="10"/>
        <rFont val="Noto Sans CJK SC"/>
        <family val="2"/>
      </rPr>
      <t xml:space="preserve">也有真隔離</t>
    </r>
  </si>
  <si>
    <r>
      <rPr>
        <sz val="10"/>
        <rFont val="Microsoft JhengHei"/>
        <family val="0"/>
        <charset val="1"/>
      </rPr>
      <t xml:space="preserve">6–9 </t>
    </r>
    <r>
      <rPr>
        <sz val="10"/>
        <rFont val="Noto Sans CJK SC"/>
        <family val="2"/>
      </rPr>
      <t xml:space="preserve">月</t>
    </r>
  </si>
  <si>
    <t xml:space="preserve">有外部開發者貢獻技能</t>
  </si>
  <si>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月後</t>
    </r>
  </si>
  <si>
    <t xml:space="preserve">視前面成果再決定</t>
  </si>
  <si>
    <t xml:space="preserve">說明</t>
  </si>
  <si>
    <r>
      <rPr>
        <sz val="10"/>
        <rFont val="Noto Sans CJK SC"/>
        <family val="2"/>
      </rPr>
      <t xml:space="preserve">黃底藍字＝可自行修改的假設。起始／結束月為依原規劃時間範圍換算的估計值（</t>
    </r>
    <r>
      <rPr>
        <sz val="10"/>
        <rFont val="Microsoft JhengHei"/>
        <family val="0"/>
        <charset val="1"/>
      </rPr>
      <t xml:space="preserve">1</t>
    </r>
    <r>
      <rPr>
        <sz val="10"/>
        <rFont val="Noto Sans CJK SC"/>
        <family val="2"/>
      </rPr>
      <t xml:space="preserve">＝開始當月，</t>
    </r>
    <r>
      <rPr>
        <sz val="10"/>
        <rFont val="Microsoft JhengHei"/>
        <family val="0"/>
        <charset val="1"/>
      </rPr>
      <t xml:space="preserve">P4 </t>
    </r>
    <r>
      <rPr>
        <sz val="10"/>
        <rFont val="Noto Sans CJK SC"/>
        <family val="2"/>
      </rPr>
      <t xml:space="preserve">以第 </t>
    </r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個月代表「</t>
    </r>
    <r>
      <rPr>
        <sz val="10"/>
        <rFont val="Microsoft JhengHei"/>
        <family val="0"/>
        <charset val="1"/>
      </rPr>
      <t xml:space="preserve">12 </t>
    </r>
    <r>
      <rPr>
        <sz val="10"/>
        <rFont val="Noto Sans CJK SC"/>
        <family val="2"/>
      </rPr>
      <t xml:space="preserve">月後」）；改動後 </t>
    </r>
    <r>
      <rPr>
        <sz val="10"/>
        <rFont val="Microsoft JhengHei"/>
        <family val="0"/>
        <charset val="1"/>
      </rPr>
      <t xml:space="preserve">Roadmap </t>
    </r>
    <r>
      <rPr>
        <sz val="10"/>
        <rFont val="Noto Sans CJK SC"/>
        <family val="2"/>
      </rPr>
      <t xml:space="preserve">的甘特圖會自動更新。</t>
    </r>
  </si>
  <si>
    <t xml:space="preserve">項目</t>
  </si>
  <si>
    <t xml:space="preserve">高風險工具人工批准</t>
  </si>
  <si>
    <t xml:space="preserve">模型供應商抽象層（含本機模型）</t>
  </si>
  <si>
    <t xml:space="preserve">能力式權限</t>
  </si>
  <si>
    <r>
      <rPr>
        <sz val="10"/>
        <rFont val="Noto Sans CJK SC"/>
        <family val="2"/>
      </rPr>
      <t xml:space="preserve">不可信內容標記（網頁、</t>
    </r>
    <r>
      <rPr>
        <sz val="10"/>
        <rFont val="Microsoft JhengHei"/>
        <family val="0"/>
        <charset val="1"/>
      </rPr>
      <t xml:space="preserve">MCP </t>
    </r>
    <r>
      <rPr>
        <sz val="10"/>
        <rFont val="Noto Sans CJK SC"/>
        <family val="2"/>
      </rPr>
      <t xml:space="preserve">回傳、檔案）</t>
    </r>
  </si>
  <si>
    <t xml:space="preserve">技能簽章與掃描</t>
  </si>
  <si>
    <r>
      <rPr>
        <sz val="10"/>
        <rFont val="Noto Sans CJK SC"/>
        <family val="2"/>
      </rPr>
      <t xml:space="preserve">記憶 </t>
    </r>
    <r>
      <rPr>
        <sz val="10"/>
        <rFont val="Microsoft JhengHei"/>
        <family val="0"/>
        <charset val="1"/>
      </rPr>
      <t xml:space="preserve">v2</t>
    </r>
    <r>
      <rPr>
        <sz val="10"/>
        <rFont val="Noto Sans CJK SC"/>
        <family val="2"/>
      </rPr>
      <t xml:space="preserve">（全文檢索＋向量、時序事實）</t>
    </r>
  </si>
  <si>
    <r>
      <rPr>
        <sz val="10"/>
        <rFont val="Microsoft JhengHei"/>
        <family val="0"/>
        <charset val="1"/>
      </rPr>
      <t xml:space="preserve">AIOS </t>
    </r>
    <r>
      <rPr>
        <sz val="10"/>
        <rFont val="Noto Sans CJK SC"/>
        <family val="2"/>
      </rPr>
      <t xml:space="preserve">作為 </t>
    </r>
    <r>
      <rPr>
        <sz val="10"/>
        <rFont val="Microsoft JhengHei"/>
        <family val="0"/>
        <charset val="1"/>
      </rPr>
      <t xml:space="preserve">MCP </t>
    </r>
    <r>
      <rPr>
        <sz val="10"/>
        <rFont val="Noto Sans CJK SC"/>
        <family val="2"/>
      </rPr>
      <t xml:space="preserve">伺服器</t>
    </r>
  </si>
  <si>
    <t xml:space="preserve">提示注入測試集</t>
  </si>
  <si>
    <r>
      <rPr>
        <sz val="10"/>
        <rFont val="Noto Sans CJK SC"/>
        <family val="2"/>
      </rPr>
      <t xml:space="preserve">多 </t>
    </r>
    <r>
      <rPr>
        <sz val="10"/>
        <rFont val="Microsoft JhengHei"/>
        <family val="0"/>
        <charset val="1"/>
      </rPr>
      <t xml:space="preserve">agent </t>
    </r>
    <r>
      <rPr>
        <sz val="10"/>
        <rFont val="Noto Sans CJK SC"/>
        <family val="2"/>
      </rPr>
      <t xml:space="preserve">與 </t>
    </r>
    <r>
      <rPr>
        <sz val="10"/>
        <rFont val="Microsoft JhengHei"/>
        <family val="0"/>
        <charset val="1"/>
      </rPr>
      <t xml:space="preserve">A2A</t>
    </r>
  </si>
  <si>
    <t xml:space="preserve">排程與觸發器</t>
  </si>
  <si>
    <r>
      <rPr>
        <sz val="10"/>
        <rFont val="Noto Sans CJK SC"/>
        <family val="2"/>
      </rPr>
      <t xml:space="preserve">本機 </t>
    </r>
    <r>
      <rPr>
        <sz val="10"/>
        <rFont val="Microsoft JhengHei"/>
        <family val="0"/>
        <charset val="1"/>
      </rPr>
      <t xml:space="preserve">Web </t>
    </r>
    <r>
      <rPr>
        <sz val="10"/>
        <rFont val="Noto Sans CJK SC"/>
        <family val="2"/>
      </rPr>
      <t xml:space="preserve">控制台</t>
    </r>
  </si>
  <si>
    <r>
      <rPr>
        <sz val="10"/>
        <rFont val="Noto Sans CJK SC"/>
        <family val="2"/>
      </rPr>
      <t xml:space="preserve">可插拔沙箱後端（</t>
    </r>
    <r>
      <rPr>
        <sz val="10"/>
        <rFont val="Microsoft JhengHei"/>
        <family val="0"/>
        <charset val="1"/>
      </rPr>
      <t xml:space="preserve">WSL2</t>
    </r>
    <r>
      <rPr>
        <sz val="10"/>
        <rFont val="Noto Sans CJK SC"/>
        <family val="2"/>
      </rPr>
      <t xml:space="preserve">／</t>
    </r>
    <r>
      <rPr>
        <sz val="10"/>
        <rFont val="Microsoft JhengHei"/>
        <family val="0"/>
        <charset val="1"/>
      </rPr>
      <t xml:space="preserve">Docker</t>
    </r>
    <r>
      <rPr>
        <sz val="10"/>
        <rFont val="Noto Sans CJK SC"/>
        <family val="2"/>
      </rPr>
      <t xml:space="preserve">／</t>
    </r>
    <r>
      <rPr>
        <sz val="10"/>
        <rFont val="Microsoft JhengHei"/>
        <family val="0"/>
        <charset val="1"/>
      </rPr>
      <t xml:space="preserve">microVM</t>
    </r>
    <r>
      <rPr>
        <sz val="10"/>
        <rFont val="Noto Sans CJK SC"/>
        <family val="2"/>
      </rPr>
      <t xml:space="preserve">）</t>
    </r>
  </si>
  <si>
    <t xml:space="preserve">技能註冊中心（簽章驗證）</t>
  </si>
  <si>
    <t xml:space="preserve">託管雲端版（可選）</t>
  </si>
  <si>
    <r>
      <rPr>
        <sz val="10"/>
        <rFont val="Microsoft JhengHei"/>
        <family val="0"/>
        <charset val="1"/>
      </rPr>
      <t xml:space="preserve">WSL </t>
    </r>
    <r>
      <rPr>
        <sz val="10"/>
        <rFont val="Noto Sans CJK SC"/>
        <family val="2"/>
      </rPr>
      <t xml:space="preserve">映像／</t>
    </r>
    <r>
      <rPr>
        <sz val="10"/>
        <rFont val="Microsoft JhengHei"/>
        <family val="0"/>
        <charset val="1"/>
      </rPr>
      <t xml:space="preserve">Linux </t>
    </r>
    <r>
      <rPr>
        <sz val="10"/>
        <rFont val="Noto Sans CJK SC"/>
        <family val="2"/>
      </rPr>
      <t xml:space="preserve">發行版</t>
    </r>
  </si>
  <si>
    <t xml:space="preserve">系統服務化</t>
  </si>
  <si>
    <r>
      <rPr>
        <sz val="10"/>
        <rFont val="Noto Sans CJK SC"/>
        <family val="2"/>
      </rPr>
      <t xml:space="preserve">手機伴侶 </t>
    </r>
    <r>
      <rPr>
        <sz val="10"/>
        <rFont val="Microsoft JhengHei"/>
        <family val="0"/>
        <charset val="1"/>
      </rPr>
      <t xml:space="preserve">App</t>
    </r>
  </si>
  <si>
    <t xml:space="preserve">月份為相對於專案起點的第幾個月；起始／結束月由「階段」工作表帶入（綠字＝跨表公式）。</t>
  </si>
  <si>
    <t xml:space="preserve">產品</t>
  </si>
  <si>
    <t xml:space="preserve">商業模式</t>
  </si>
  <si>
    <t xml:space="preserve">備註</t>
  </si>
  <si>
    <t xml:space="preserve">AIOS Core</t>
  </si>
  <si>
    <r>
      <rPr>
        <sz val="10"/>
        <rFont val="Noto Sans CJK SC"/>
        <family val="2"/>
      </rPr>
      <t xml:space="preserve">開源運行時：排程、權限、記憶、</t>
    </r>
    <r>
      <rPr>
        <sz val="10"/>
        <rFont val="Microsoft JhengHei"/>
        <family val="0"/>
        <charset val="1"/>
      </rPr>
      <t xml:space="preserve">MCP</t>
    </r>
    <r>
      <rPr>
        <sz val="10"/>
        <rFont val="Noto Sans CJK SC"/>
        <family val="2"/>
      </rPr>
      <t xml:space="preserve">。整條產品線的基礎。</t>
    </r>
  </si>
  <si>
    <t xml:space="preserve">P0–P1</t>
  </si>
  <si>
    <t xml:space="preserve">開源</t>
  </si>
  <si>
    <t xml:space="preserve">AIOS Shell</t>
  </si>
  <si>
    <r>
      <rPr>
        <sz val="10"/>
        <rFont val="Microsoft JhengHei"/>
        <family val="0"/>
        <charset val="1"/>
      </rPr>
      <t xml:space="preserve">CLI </t>
    </r>
    <r>
      <rPr>
        <sz val="10"/>
        <rFont val="Noto Sans CJK SC"/>
        <family val="2"/>
      </rPr>
      <t xml:space="preserve">與本機網頁控制台，含審批與審計檢視。</t>
    </r>
  </si>
  <si>
    <r>
      <rPr>
        <sz val="10"/>
        <rFont val="Microsoft JhengHei"/>
        <family val="0"/>
        <charset val="1"/>
      </rPr>
      <t xml:space="preserve">P2</t>
    </r>
    <r>
      <rPr>
        <sz val="10"/>
        <rFont val="Noto Sans CJK SC"/>
        <family val="2"/>
      </rPr>
      <t xml:space="preserve">（</t>
    </r>
    <r>
      <rPr>
        <sz val="10"/>
        <rFont val="Microsoft JhengHei"/>
        <family val="0"/>
        <charset val="1"/>
      </rPr>
      <t xml:space="preserve">CLI </t>
    </r>
    <r>
      <rPr>
        <sz val="10"/>
        <rFont val="Noto Sans CJK SC"/>
        <family val="2"/>
      </rPr>
      <t xml:space="preserve">已有）</t>
    </r>
  </si>
  <si>
    <t xml:space="preserve">AIOS Guard</t>
  </si>
  <si>
    <t xml:space="preserve">策略引擎、技能掃描、提示注入測試集。</t>
  </si>
  <si>
    <t xml:space="preserve">P1</t>
  </si>
  <si>
    <t xml:space="preserve">待驗證</t>
  </si>
  <si>
    <t xml:space="preserve">判斷：最有差異化、也最有付費價值的一塊，因為市場痛點在安全。</t>
  </si>
  <si>
    <t xml:space="preserve">AIOS Memory</t>
  </si>
  <si>
    <r>
      <rPr>
        <sz val="10"/>
        <rFont val="Noto Sans CJK SC"/>
        <family val="2"/>
      </rPr>
      <t xml:space="preserve">可獨立使用的記憶服務，同時提供 </t>
    </r>
    <r>
      <rPr>
        <sz val="10"/>
        <rFont val="Microsoft JhengHei"/>
        <family val="0"/>
        <charset val="1"/>
      </rPr>
      <t xml:space="preserve">MCP </t>
    </r>
    <r>
      <rPr>
        <sz val="10"/>
        <rFont val="Noto Sans CJK SC"/>
        <family val="2"/>
      </rPr>
      <t xml:space="preserve">介面。</t>
    </r>
  </si>
  <si>
    <t xml:space="preserve">待定</t>
  </si>
  <si>
    <t xml:space="preserve">AIOS Sandbox</t>
  </si>
  <si>
    <t xml:space="preserve">多後端的隔離執行層。</t>
  </si>
  <si>
    <t xml:space="preserve">P2</t>
  </si>
  <si>
    <t xml:space="preserve">AIOS Hub</t>
  </si>
  <si>
    <r>
      <rPr>
        <sz val="10"/>
        <rFont val="Noto Sans CJK SC"/>
        <family val="2"/>
      </rPr>
      <t xml:space="preserve">經簽章驗證的技能與 </t>
    </r>
    <r>
      <rPr>
        <sz val="10"/>
        <rFont val="Microsoft JhengHei"/>
        <family val="0"/>
        <charset val="1"/>
      </rPr>
      <t xml:space="preserve">agent </t>
    </r>
    <r>
      <rPr>
        <sz val="10"/>
        <rFont val="Noto Sans CJK SC"/>
        <family val="2"/>
      </rPr>
      <t xml:space="preserve">市集。</t>
    </r>
  </si>
  <si>
    <t xml:space="preserve">P3</t>
  </si>
  <si>
    <t xml:space="preserve">AIOS Team / Cloud</t>
  </si>
  <si>
    <r>
      <rPr>
        <sz val="10"/>
        <rFont val="Noto Sans CJK SC"/>
        <family val="2"/>
      </rPr>
      <t xml:space="preserve">託管、</t>
    </r>
    <r>
      <rPr>
        <sz val="10"/>
        <rFont val="Microsoft JhengHei"/>
        <family val="0"/>
        <charset val="1"/>
      </rPr>
      <t xml:space="preserve">RBAC</t>
    </r>
    <r>
      <rPr>
        <sz val="10"/>
        <rFont val="Noto Sans CJK SC"/>
        <family val="2"/>
      </rPr>
      <t xml:space="preserve">、稽核匯出。</t>
    </r>
  </si>
  <si>
    <t xml:space="preserve">收費（主要）</t>
  </si>
  <si>
    <t xml:space="preserve">商業模式為假設，需自行驗證市場。</t>
  </si>
  <si>
    <t xml:space="preserve">類別</t>
  </si>
  <si>
    <t xml:space="preserve">標題</t>
  </si>
  <si>
    <t xml:space="preserve">連結</t>
  </si>
  <si>
    <r>
      <rPr>
        <sz val="10"/>
        <rFont val="Microsoft JhengHei"/>
        <family val="0"/>
        <charset val="1"/>
      </rPr>
      <t xml:space="preserve">AIOS: LLM Agent Operating System</t>
    </r>
    <r>
      <rPr>
        <sz val="10"/>
        <rFont val="Noto Sans CJK SC"/>
        <family val="2"/>
      </rPr>
      <t xml:space="preserve">（</t>
    </r>
    <r>
      <rPr>
        <sz val="10"/>
        <rFont val="Microsoft JhengHei"/>
        <family val="0"/>
        <charset val="1"/>
      </rPr>
      <t xml:space="preserve">arXiv</t>
    </r>
    <r>
      <rPr>
        <sz val="10"/>
        <rFont val="Noto Sans CJK SC"/>
        <family val="2"/>
      </rPr>
      <t xml:space="preserve">）</t>
    </r>
  </si>
  <si>
    <r>
      <rPr>
        <sz val="10"/>
        <rFont val="Microsoft JhengHei"/>
        <family val="0"/>
        <charset val="1"/>
      </rPr>
      <t xml:space="preserve">AgenticOS 2026 </t>
    </r>
    <r>
      <rPr>
        <sz val="10"/>
        <rFont val="Noto Sans CJK SC"/>
        <family val="2"/>
      </rPr>
      <t xml:space="preserve">工作坊公告</t>
    </r>
  </si>
  <si>
    <t xml:space="preserve">https://easychair.org/cfp/AgenticOS2026</t>
  </si>
  <si>
    <r>
      <rPr>
        <sz val="10"/>
        <rFont val="Microsoft JhengHei"/>
        <family val="0"/>
        <charset val="1"/>
      </rPr>
      <t xml:space="preserve">Your Agent, Their Asset: A Real-World Safety Analysis of OpenClaw</t>
    </r>
    <r>
      <rPr>
        <sz val="10"/>
        <rFont val="Noto Sans CJK SC"/>
        <family val="2"/>
      </rPr>
      <t xml:space="preserve">（</t>
    </r>
    <r>
      <rPr>
        <sz val="10"/>
        <rFont val="Microsoft JhengHei"/>
        <family val="0"/>
        <charset val="1"/>
      </rPr>
      <t xml:space="preserve">ICML 2026</t>
    </r>
    <r>
      <rPr>
        <sz val="10"/>
        <rFont val="Noto Sans CJK SC"/>
        <family val="2"/>
      </rPr>
      <t xml:space="preserve">）</t>
    </r>
  </si>
  <si>
    <t xml:space="preserve">https://icml.cc/virtual/2026/69297</t>
  </si>
  <si>
    <t xml:space="preserve">資安新聞</t>
  </si>
  <si>
    <r>
      <rPr>
        <sz val="10"/>
        <rFont val="Microsoft JhengHei"/>
        <family val="0"/>
        <charset val="1"/>
      </rPr>
      <t xml:space="preserve">Latest OpenClaw Flaw…</t>
    </r>
    <r>
      <rPr>
        <sz val="10"/>
        <rFont val="Noto Sans CJK SC"/>
        <family val="2"/>
      </rPr>
      <t xml:space="preserve">（</t>
    </r>
    <r>
      <rPr>
        <sz val="10"/>
        <rFont val="Microsoft JhengHei"/>
        <family val="0"/>
        <charset val="1"/>
      </rPr>
      <t xml:space="preserve">Security Boulevard</t>
    </r>
    <r>
      <rPr>
        <sz val="10"/>
        <rFont val="Noto Sans CJK SC"/>
        <family val="2"/>
      </rPr>
      <t xml:space="preserve">）</t>
    </r>
  </si>
  <si>
    <r>
      <rPr>
        <sz val="10"/>
        <rFont val="Microsoft JhengHei"/>
        <family val="0"/>
        <charset val="1"/>
      </rPr>
      <t xml:space="preserve">OpenClaw AI Agent Sparks Global Security Alarm</t>
    </r>
    <r>
      <rPr>
        <sz val="10"/>
        <rFont val="Noto Sans CJK SC"/>
        <family val="2"/>
      </rPr>
      <t xml:space="preserve">（</t>
    </r>
    <r>
      <rPr>
        <sz val="10"/>
        <rFont val="Microsoft JhengHei"/>
        <family val="0"/>
        <charset val="1"/>
      </rPr>
      <t xml:space="preserve">BankInfoSecurity</t>
    </r>
    <r>
      <rPr>
        <sz val="10"/>
        <rFont val="Noto Sans CJK SC"/>
        <family val="2"/>
      </rPr>
      <t xml:space="preserve">）</t>
    </r>
  </si>
  <si>
    <t xml:space="preserve">https://www.bankinfosecurity.net/openclaw-ai-agent-sparks-global-security-alarm-a-30686</t>
  </si>
  <si>
    <r>
      <rPr>
        <sz val="10"/>
        <rFont val="Microsoft JhengHei"/>
        <family val="0"/>
        <charset val="1"/>
      </rPr>
      <t xml:space="preserve">OpenClaw's Rapid Rise Exposes Thousands of AI Agents</t>
    </r>
    <r>
      <rPr>
        <sz val="10"/>
        <rFont val="Noto Sans CJK SC"/>
        <family val="2"/>
      </rPr>
      <t xml:space="preserve">（</t>
    </r>
    <r>
      <rPr>
        <sz val="10"/>
        <rFont val="Microsoft JhengHei"/>
        <family val="0"/>
        <charset val="1"/>
      </rPr>
      <t xml:space="preserve">eSecurity Planet</t>
    </r>
    <r>
      <rPr>
        <sz val="10"/>
        <rFont val="Noto Sans CJK SC"/>
        <family val="2"/>
      </rPr>
      <t xml:space="preserve">）</t>
    </r>
  </si>
  <si>
    <t xml:space="preserve">https://www.esecurityplanet.com/threats/openclaws-rapid-rise-exposes-thousands-of-ai-agents-to-the-public-internet/</t>
  </si>
  <si>
    <r>
      <rPr>
        <sz val="10"/>
        <rFont val="Microsoft JhengHei"/>
        <family val="0"/>
        <charset val="1"/>
      </rPr>
      <t xml:space="preserve">OS</t>
    </r>
    <r>
      <rPr>
        <sz val="10"/>
        <rFont val="Noto Sans CJK SC"/>
        <family val="2"/>
      </rPr>
      <t xml:space="preserve">／平台</t>
    </r>
  </si>
  <si>
    <r>
      <rPr>
        <sz val="10"/>
        <rFont val="Microsoft JhengHei"/>
        <family val="0"/>
        <charset val="1"/>
      </rPr>
      <t xml:space="preserve">Windows </t>
    </r>
    <r>
      <rPr>
        <sz val="10"/>
        <rFont val="Noto Sans CJK SC"/>
        <family val="2"/>
      </rPr>
      <t xml:space="preserve">成為 </t>
    </r>
    <r>
      <rPr>
        <sz val="10"/>
        <rFont val="Microsoft JhengHei"/>
        <family val="0"/>
        <charset val="1"/>
      </rPr>
      <t xml:space="preserve">AI agent </t>
    </r>
    <r>
      <rPr>
        <sz val="10"/>
        <rFont val="Noto Sans CJK SC"/>
        <family val="2"/>
      </rPr>
      <t xml:space="preserve">的作業系統（</t>
    </r>
    <r>
      <rPr>
        <sz val="10"/>
        <rFont val="Microsoft JhengHei"/>
        <family val="0"/>
        <charset val="1"/>
      </rPr>
      <t xml:space="preserve">TechSpective</t>
    </r>
    <r>
      <rPr>
        <sz val="10"/>
        <rFont val="Noto Sans CJK SC"/>
        <family val="2"/>
      </rPr>
      <t xml:space="preserve">）</t>
    </r>
  </si>
  <si>
    <r>
      <rPr>
        <sz val="10"/>
        <rFont val="Microsoft JhengHei"/>
        <family val="0"/>
        <charset val="1"/>
      </rPr>
      <t xml:space="preserve">Microsoft</t>
    </r>
    <r>
      <rPr>
        <sz val="10"/>
        <rFont val="Noto Sans CJK SC"/>
        <family val="2"/>
      </rPr>
      <t xml:space="preserve">：</t>
    </r>
    <r>
      <rPr>
        <sz val="10"/>
        <rFont val="Microsoft JhengHei"/>
        <family val="0"/>
        <charset val="1"/>
      </rPr>
      <t xml:space="preserve">Windows </t>
    </r>
    <r>
      <rPr>
        <sz val="10"/>
        <rFont val="Noto Sans CJK SC"/>
        <family val="2"/>
      </rPr>
      <t xml:space="preserve">的 </t>
    </r>
    <r>
      <rPr>
        <sz val="10"/>
        <rFont val="Microsoft JhengHei"/>
        <family val="0"/>
        <charset val="1"/>
      </rPr>
      <t xml:space="preserve">MCP </t>
    </r>
    <r>
      <rPr>
        <sz val="10"/>
        <rFont val="Noto Sans CJK SC"/>
        <family val="2"/>
      </rPr>
      <t xml:space="preserve">與 </t>
    </r>
    <r>
      <rPr>
        <sz val="10"/>
        <rFont val="Microsoft JhengHei"/>
        <family val="0"/>
        <charset val="1"/>
      </rPr>
      <t xml:space="preserve">Agent workspace</t>
    </r>
    <r>
      <rPr>
        <sz val="10"/>
        <rFont val="Noto Sans CJK SC"/>
        <family val="2"/>
      </rPr>
      <t xml:space="preserve">（</t>
    </r>
    <r>
      <rPr>
        <sz val="10"/>
        <rFont val="Microsoft JhengHei"/>
        <family val="0"/>
        <charset val="1"/>
      </rPr>
      <t xml:space="preserve">Neowin</t>
    </r>
    <r>
      <rPr>
        <sz val="10"/>
        <rFont val="Noto Sans CJK SC"/>
        <family val="2"/>
      </rPr>
      <t xml:space="preserve">）</t>
    </r>
  </si>
  <si>
    <t xml:space="preserve">https://www.neowin.net/news/microsoft-is-making-ai-agents-a-first-class-component-of-windows/</t>
  </si>
  <si>
    <t xml:space="preserve">Android AppFunctions</t>
  </si>
  <si>
    <t xml:space="preserve">https://tinycorestudios.uk/blog/news/2026-03-30-android-appfunctions/</t>
  </si>
  <si>
    <r>
      <rPr>
        <sz val="10"/>
        <rFont val="Microsoft JhengHei"/>
        <family val="0"/>
        <charset val="1"/>
      </rPr>
      <t xml:space="preserve">Google </t>
    </r>
    <r>
      <rPr>
        <sz val="10"/>
        <rFont val="Noto Sans CJK SC"/>
        <family val="2"/>
      </rPr>
      <t xml:space="preserve">預覽 </t>
    </r>
    <r>
      <rPr>
        <sz val="10"/>
        <rFont val="Microsoft JhengHei"/>
        <family val="0"/>
        <charset val="1"/>
      </rPr>
      <t xml:space="preserve">Android 17</t>
    </r>
    <r>
      <rPr>
        <sz val="10"/>
        <rFont val="Noto Sans CJK SC"/>
        <family val="2"/>
      </rPr>
      <t xml:space="preserve">（</t>
    </r>
    <r>
      <rPr>
        <sz val="10"/>
        <rFont val="Microsoft JhengHei"/>
        <family val="0"/>
        <charset val="1"/>
      </rPr>
      <t xml:space="preserve">MacRumors</t>
    </r>
    <r>
      <rPr>
        <sz val="10"/>
        <rFont val="Noto Sans CJK SC"/>
        <family val="2"/>
      </rPr>
      <t xml:space="preserve">）</t>
    </r>
  </si>
  <si>
    <r>
      <rPr>
        <sz val="10"/>
        <rFont val="Microsoft JhengHei"/>
        <family val="0"/>
        <charset val="1"/>
      </rPr>
      <t xml:space="preserve">OS</t>
    </r>
    <r>
      <rPr>
        <sz val="10"/>
        <rFont val="Noto Sans CJK SC"/>
        <family val="2"/>
      </rPr>
      <t xml:space="preserve">／平台（報導）</t>
    </r>
  </si>
  <si>
    <r>
      <rPr>
        <sz val="10"/>
        <rFont val="Microsoft JhengHei"/>
        <family val="0"/>
        <charset val="1"/>
      </rPr>
      <t xml:space="preserve">iOS 27 Siri </t>
    </r>
    <r>
      <rPr>
        <sz val="10"/>
        <rFont val="Noto Sans CJK SC"/>
        <family val="2"/>
      </rPr>
      <t xml:space="preserve">傳聞（</t>
    </r>
    <r>
      <rPr>
        <sz val="10"/>
        <rFont val="Microsoft JhengHei"/>
        <family val="0"/>
        <charset val="1"/>
      </rPr>
      <t xml:space="preserve">Gizmodo</t>
    </r>
    <r>
      <rPr>
        <sz val="10"/>
        <rFont val="Noto Sans CJK SC"/>
        <family val="2"/>
      </rPr>
      <t xml:space="preserve">）</t>
    </r>
  </si>
  <si>
    <r>
      <rPr>
        <sz val="10"/>
        <rFont val="Microsoft JhengHei"/>
        <family val="0"/>
        <charset val="1"/>
      </rPr>
      <t xml:space="preserve">OpenAI Frontier</t>
    </r>
    <r>
      <rPr>
        <sz val="10"/>
        <rFont val="Noto Sans CJK SC"/>
        <family val="2"/>
      </rPr>
      <t xml:space="preserve">（</t>
    </r>
    <r>
      <rPr>
        <sz val="10"/>
        <rFont val="Microsoft JhengHei"/>
        <family val="0"/>
        <charset val="1"/>
      </rPr>
      <t xml:space="preserve">noqta</t>
    </r>
    <r>
      <rPr>
        <sz val="10"/>
        <rFont val="Noto Sans CJK SC"/>
        <family val="2"/>
      </rPr>
      <t xml:space="preserve">）</t>
    </r>
  </si>
  <si>
    <r>
      <rPr>
        <sz val="10"/>
        <rFont val="Microsoft JhengHei"/>
        <family val="0"/>
        <charset val="1"/>
      </rPr>
      <t xml:space="preserve">Claude Managed Agents</t>
    </r>
    <r>
      <rPr>
        <sz val="10"/>
        <rFont val="Noto Sans CJK SC"/>
        <family val="2"/>
      </rPr>
      <t xml:space="preserve">（</t>
    </r>
    <r>
      <rPr>
        <sz val="10"/>
        <rFont val="Microsoft JhengHei"/>
        <family val="0"/>
        <charset val="1"/>
      </rPr>
      <t xml:space="preserve">mythos.one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</si>
  <si>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企業 </t>
    </r>
    <r>
      <rPr>
        <sz val="10"/>
        <rFont val="Microsoft JhengHei"/>
        <family val="0"/>
        <charset val="1"/>
      </rPr>
      <t xml:space="preserve">agent </t>
    </r>
    <r>
      <rPr>
        <sz val="10"/>
        <rFont val="Noto Sans CJK SC"/>
        <family val="2"/>
      </rPr>
      <t xml:space="preserve">平台競爭者整理</t>
    </r>
  </si>
  <si>
    <r>
      <rPr>
        <sz val="10"/>
        <rFont val="Microsoft JhengHei"/>
        <family val="0"/>
        <charset val="1"/>
      </rPr>
      <t xml:space="preserve">A2A </t>
    </r>
    <r>
      <rPr>
        <sz val="10"/>
        <rFont val="Noto Sans CJK SC"/>
        <family val="2"/>
      </rPr>
      <t xml:space="preserve">進入 </t>
    </r>
    <r>
      <rPr>
        <sz val="10"/>
        <rFont val="Microsoft JhengHei"/>
        <family val="0"/>
        <charset val="1"/>
      </rPr>
      <t xml:space="preserve">AAIF</t>
    </r>
  </si>
  <si>
    <t xml:space="preserve">The agent stack just became a standard</t>
  </si>
  <si>
    <r>
      <rPr>
        <sz val="10"/>
        <rFont val="Microsoft JhengHei"/>
        <family val="0"/>
        <charset val="1"/>
      </rPr>
      <t xml:space="preserve">Best E2B Alternatives for AI Code Sandboxes</t>
    </r>
    <r>
      <rPr>
        <sz val="10"/>
        <rFont val="Noto Sans CJK SC"/>
        <family val="2"/>
      </rPr>
      <t xml:space="preserve">（</t>
    </r>
    <r>
      <rPr>
        <sz val="10"/>
        <rFont val="Microsoft JhengHei"/>
        <family val="0"/>
        <charset val="1"/>
      </rPr>
      <t xml:space="preserve">Beam</t>
    </r>
    <r>
      <rPr>
        <sz val="10"/>
        <rFont val="Noto Sans CJK SC"/>
        <family val="2"/>
      </rPr>
      <t xml:space="preserve">）</t>
    </r>
  </si>
  <si>
    <t xml:space="preserve">AI Agent Sandboxes: Secure Code Execution Guide</t>
  </si>
  <si>
    <t xml:space="preserve">https://noqta.tn/blog/ai-agent-sandbox-secure-code-execution-2026</t>
  </si>
  <si>
    <t xml:space="preserve">記憶層（廠商自述）</t>
  </si>
  <si>
    <r>
      <rPr>
        <sz val="10"/>
        <rFont val="Microsoft JhengHei"/>
        <family val="0"/>
        <charset val="1"/>
      </rPr>
      <t xml:space="preserve">Zep vs Mem0</t>
    </r>
    <r>
      <rPr>
        <sz val="10"/>
        <rFont val="Noto Sans CJK SC"/>
        <family val="2"/>
      </rPr>
      <t xml:space="preserve">（</t>
    </r>
    <r>
      <rPr>
        <sz val="10"/>
        <rFont val="Microsoft JhengHei"/>
        <family val="0"/>
        <charset val="1"/>
      </rPr>
      <t xml:space="preserve">Mem0 </t>
    </r>
    <r>
      <rPr>
        <sz val="10"/>
        <rFont val="Noto Sans CJK SC"/>
        <family val="2"/>
      </rPr>
      <t xml:space="preserve">官方部落格）</t>
    </r>
  </si>
  <si>
    <t xml:space="preserve">https://mem0.ai/library/agent-memory/zep-vs-mem0-which-ai-memory-layer-should-you-choose</t>
  </si>
  <si>
    <t xml:space="preserve">記憶層（獨立評測）</t>
  </si>
  <si>
    <r>
      <rPr>
        <sz val="10"/>
        <rFont val="Microsoft JhengHei"/>
        <family val="0"/>
        <charset val="1"/>
      </rPr>
      <t xml:space="preserve">Best AI Agent Memory Frameworks in 2026</t>
    </r>
    <r>
      <rPr>
        <sz val="10"/>
        <rFont val="Noto Sans CJK SC"/>
        <family val="2"/>
      </rPr>
      <t xml:space="preserve">（</t>
    </r>
    <r>
      <rPr>
        <sz val="10"/>
        <rFont val="Microsoft JhengHei"/>
        <family val="0"/>
        <charset val="1"/>
      </rPr>
      <t xml:space="preserve">Atlan</t>
    </r>
    <r>
      <rPr>
        <sz val="10"/>
        <rFont val="Noto Sans CJK SC"/>
        <family val="2"/>
      </rPr>
      <t xml:space="preserve">）</t>
    </r>
  </si>
  <si>
    <t xml:space="preserve">https://atlan.com/know/best-ai-agent-memory-frameworks-2026/</t>
  </si>
  <si>
    <t xml:space="preserve">記憶層</t>
  </si>
  <si>
    <t xml:space="preserve">Best AI Agent Memory Providers in 2026</t>
  </si>
  <si>
    <r>
      <rPr>
        <sz val="10"/>
        <rFont val="Microsoft JhengHei"/>
        <family val="0"/>
        <charset val="1"/>
      </rPr>
      <t xml:space="preserve">Z.ai </t>
    </r>
    <r>
      <rPr>
        <sz val="10"/>
        <rFont val="Noto Sans CJK SC"/>
        <family val="2"/>
      </rPr>
      <t xml:space="preserve">開源手機 </t>
    </r>
    <r>
      <rPr>
        <sz val="10"/>
        <rFont val="Microsoft JhengHei"/>
        <family val="0"/>
        <charset val="1"/>
      </rPr>
      <t xml:space="preserve">agent</t>
    </r>
    <r>
      <rPr>
        <sz val="10"/>
        <rFont val="Noto Sans CJK SC"/>
        <family val="2"/>
      </rPr>
      <t xml:space="preserve">（</t>
    </r>
    <r>
      <rPr>
        <sz val="10"/>
        <rFont val="Microsoft JhengHei"/>
        <family val="0"/>
        <charset val="1"/>
      </rPr>
      <t xml:space="preserve">SCMP</t>
    </r>
    <r>
      <rPr>
        <sz val="10"/>
        <rFont val="Noto Sans CJK SC"/>
        <family val="2"/>
      </rPr>
      <t xml:space="preserve">）</t>
    </r>
  </si>
  <si>
    <r>
      <rPr>
        <sz val="10"/>
        <rFont val="Microsoft JhengHei"/>
        <family val="0"/>
        <charset val="1"/>
      </rPr>
      <t xml:space="preserve">ZTE NaviX </t>
    </r>
    <r>
      <rPr>
        <sz val="10"/>
        <rFont val="Noto Sans CJK SC"/>
        <family val="2"/>
      </rPr>
      <t xml:space="preserve">與中國 </t>
    </r>
    <r>
      <rPr>
        <sz val="10"/>
        <rFont val="Microsoft JhengHei"/>
        <family val="0"/>
        <charset val="1"/>
      </rPr>
      <t xml:space="preserve">agent </t>
    </r>
    <r>
      <rPr>
        <sz val="10"/>
        <rFont val="Noto Sans CJK SC"/>
        <family val="2"/>
      </rPr>
      <t xml:space="preserve">手機（</t>
    </r>
    <r>
      <rPr>
        <sz val="10"/>
        <rFont val="Microsoft JhengHei"/>
        <family val="0"/>
        <charset val="1"/>
      </rPr>
      <t xml:space="preserve">TNW</t>
    </r>
    <r>
      <rPr>
        <sz val="10"/>
        <rFont val="Noto Sans CJK SC"/>
        <family val="2"/>
      </rPr>
      <t xml:space="preserve">）</t>
    </r>
  </si>
  <si>
    <r>
      <rPr>
        <sz val="10"/>
        <rFont val="Microsoft JhengHei"/>
        <family val="0"/>
        <charset val="1"/>
      </rPr>
      <t xml:space="preserve">Hermes AIOS </t>
    </r>
    <r>
      <rPr>
        <sz val="10"/>
        <rFont val="Noto Sans CJK SC"/>
        <family val="2"/>
      </rPr>
      <t xml:space="preserve">如何從工作流程學習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</si>
</sst>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;;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Microsoft JhengHei"/>
      <family val="0"/>
      <charset val="1"/>
    </font>
    <font>
      <b val="true"/>
      <sz val="14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Microsoft JhengHei"/>
      <family val="0"/>
      <charset val="1"/>
    </font>
    <font>
      <b val="true"/>
      <sz val="10"/>
      <name val="Microsoft JhengHei"/>
      <family val="0"/>
      <charset val="1"/>
    </font>
    <font>
      <sz val="10"/>
      <color rgb="FF008000"/>
      <name val="Microsoft JhengHei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Microsoft JhengHei"/>
      <family val="0"/>
      <charset val="1"/>
    </font>
    <font>
      <u val="single"/>
      <sz val="10"/>
      <color rgb="FF0563C1"/>
      <name val="Microsoft JhengHei"/>
      <family val="0"/>
      <charset val="1"/>
    </font>
    <font>
      <sz val="10"/>
      <color rgb="FF0000FF"/>
      <name val="Noto Sans CJK SC"/>
      <family val="2"/>
    </font>
    <font>
      <sz val="10"/>
      <color rgb="FF0000FF"/>
      <name val="Microsoft JhengHe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C6E0B4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>
          <bgColor rgb="FF2F559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arxiv.org/html/2403.16971v2" TargetMode="External"/><Relationship Id="rId2" Type="http://schemas.openxmlformats.org/officeDocument/2006/relationships/hyperlink" Target="https://securityboulevard.com/2026/03/latest-openclaw-flaw-can-let-malicious-websites-hijack-local-ai-agents/" TargetMode="External"/><Relationship Id="rId3" Type="http://schemas.openxmlformats.org/officeDocument/2006/relationships/hyperlink" Target="https://news.ainauten.com/markdown/open-source-hermes-aios-lernt-aus-deinem-workflow" TargetMode="External"/><Relationship Id="rId4" Type="http://schemas.openxmlformats.org/officeDocument/2006/relationships/hyperlink" Target="https://techspective.net/2025/11/18/windows-becoming-operating-system-for-ai-agents/" TargetMode="External"/><Relationship Id="rId5" Type="http://schemas.openxmlformats.org/officeDocument/2006/relationships/hyperlink" Target="https://macrumors.com/2026/05/12/google-previews-android-17/" TargetMode="External"/><Relationship Id="rId6" Type="http://schemas.openxmlformats.org/officeDocument/2006/relationships/hyperlink" Target="https://www.gizmodo.com/siri-total-chatbot-makeover-is-imminent-with-ios-27-2000757747" TargetMode="External"/><Relationship Id="rId7" Type="http://schemas.openxmlformats.org/officeDocument/2006/relationships/hyperlink" Target="https://noqta.tn/en/news/openai-frontier-enterprise-ai-agent-platform-2026" TargetMode="External"/><Relationship Id="rId8" Type="http://schemas.openxmlformats.org/officeDocument/2006/relationships/hyperlink" Target="https://mythos.one/me/brianswichkow/1ba4d7" TargetMode="External"/><Relationship Id="rId9" Type="http://schemas.openxmlformats.org/officeDocument/2006/relationships/hyperlink" Target="https://algeriatech.news/?p=22501" TargetMode="External"/><Relationship Id="rId10" Type="http://schemas.openxmlformats.org/officeDocument/2006/relationships/hyperlink" Target="https://tarrysingh.com/blog/the-agent-stack-just-became-a-standard" TargetMode="External"/><Relationship Id="rId11" Type="http://schemas.openxmlformats.org/officeDocument/2006/relationships/hyperlink" Target="https://algeriatech.news/?p=35142" TargetMode="External"/><Relationship Id="rId12" Type="http://schemas.openxmlformats.org/officeDocument/2006/relationships/hyperlink" Target="https://www.beam.cloud/blog/best-e2b-alternatives" TargetMode="External"/><Relationship Id="rId13" Type="http://schemas.openxmlformats.org/officeDocument/2006/relationships/hyperlink" Target="https://www.developersdigest.tech/blog/best-ai-agent-memory-providers-2026" TargetMode="External"/><Relationship Id="rId14" Type="http://schemas.openxmlformats.org/officeDocument/2006/relationships/hyperlink" Target="https://www.scmp.com/tech/tech-trends/article/3335746/chinas-zai-open-sources-ai-agent-tool-phones-after-bytedance-privacy-backlash" TargetMode="External"/><Relationship Id="rId15" Type="http://schemas.openxmlformats.org/officeDocument/2006/relationships/hyperlink" Target="https://www.thenextweb.com/news/china-agentic-ai-smartphones-zte-navix-doubao-waic" TargetMode="External"/><Relationship Id="rId16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arxiv.org/html/2403.16971v2" TargetMode="External"/><Relationship Id="rId2" Type="http://schemas.openxmlformats.org/officeDocument/2006/relationships/hyperlink" Target="https://easychair.org/cfp/AgenticOS2026" TargetMode="External"/><Relationship Id="rId3" Type="http://schemas.openxmlformats.org/officeDocument/2006/relationships/hyperlink" Target="https://icml.cc/virtual/2026/69297" TargetMode="External"/><Relationship Id="rId4" Type="http://schemas.openxmlformats.org/officeDocument/2006/relationships/hyperlink" Target="https://securityboulevard.com/2026/03/latest-openclaw-flaw-can-let-malicious-websites-hijack-local-ai-agents/" TargetMode="External"/><Relationship Id="rId5" Type="http://schemas.openxmlformats.org/officeDocument/2006/relationships/hyperlink" Target="https://www.bankinfosecurity.net/openclaw-ai-agent-sparks-global-security-alarm-a-30686" TargetMode="External"/><Relationship Id="rId6" Type="http://schemas.openxmlformats.org/officeDocument/2006/relationships/hyperlink" Target="https://www.esecurityplanet.com/threats/openclaws-rapid-rise-exposes-thousands-of-ai-agents-to-the-public-internet/" TargetMode="External"/><Relationship Id="rId7" Type="http://schemas.openxmlformats.org/officeDocument/2006/relationships/hyperlink" Target="https://techspective.net/2025/11/18/windows-becoming-operating-system-for-ai-agents/" TargetMode="External"/><Relationship Id="rId8" Type="http://schemas.openxmlformats.org/officeDocument/2006/relationships/hyperlink" Target="https://www.neowin.net/news/microsoft-is-making-ai-agents-a-first-class-component-of-windows/" TargetMode="External"/><Relationship Id="rId9" Type="http://schemas.openxmlformats.org/officeDocument/2006/relationships/hyperlink" Target="https://tinycorestudios.uk/blog/news/2026-03-30-android-appfunctions/" TargetMode="External"/><Relationship Id="rId10" Type="http://schemas.openxmlformats.org/officeDocument/2006/relationships/hyperlink" Target="https://macrumors.com/2026/05/12/google-previews-android-17/" TargetMode="External"/><Relationship Id="rId11" Type="http://schemas.openxmlformats.org/officeDocument/2006/relationships/hyperlink" Target="https://www.gizmodo.com/siri-total-chatbot-makeover-is-imminent-with-ios-27-2000757747" TargetMode="External"/><Relationship Id="rId12" Type="http://schemas.openxmlformats.org/officeDocument/2006/relationships/hyperlink" Target="https://noqta.tn/en/news/openai-frontier-enterprise-ai-agent-platform-2026" TargetMode="External"/><Relationship Id="rId13" Type="http://schemas.openxmlformats.org/officeDocument/2006/relationships/hyperlink" Target="https://mythos.one/me/brianswichkow/1ba4d7" TargetMode="External"/><Relationship Id="rId14" Type="http://schemas.openxmlformats.org/officeDocument/2006/relationships/hyperlink" Target="https://algeriatech.news/?p=22501" TargetMode="External"/><Relationship Id="rId15" Type="http://schemas.openxmlformats.org/officeDocument/2006/relationships/hyperlink" Target="https://algeriatech.news/?p=35142" TargetMode="External"/><Relationship Id="rId16" Type="http://schemas.openxmlformats.org/officeDocument/2006/relationships/hyperlink" Target="https://tarrysingh.com/blog/the-agent-stack-just-became-a-standard" TargetMode="External"/><Relationship Id="rId17" Type="http://schemas.openxmlformats.org/officeDocument/2006/relationships/hyperlink" Target="https://www.beam.cloud/blog/best-e2b-alternatives" TargetMode="External"/><Relationship Id="rId18" Type="http://schemas.openxmlformats.org/officeDocument/2006/relationships/hyperlink" Target="https://noqta.tn/blog/ai-agent-sandbox-secure-code-execution-2026" TargetMode="External"/><Relationship Id="rId19" Type="http://schemas.openxmlformats.org/officeDocument/2006/relationships/hyperlink" Target="https://mem0.ai/library/agent-memory/zep-vs-mem0-which-ai-memory-layer-should-you-choose" TargetMode="External"/><Relationship Id="rId20" Type="http://schemas.openxmlformats.org/officeDocument/2006/relationships/hyperlink" Target="https://atlan.com/know/best-ai-agent-memory-frameworks-2026/" TargetMode="External"/><Relationship Id="rId21" Type="http://schemas.openxmlformats.org/officeDocument/2006/relationships/hyperlink" Target="https://www.developersdigest.tech/blog/best-ai-agent-memory-providers-2026" TargetMode="External"/><Relationship Id="rId22" Type="http://schemas.openxmlformats.org/officeDocument/2006/relationships/hyperlink" Target="https://www.scmp.com/tech/tech-trends/article/3335746/chinas-zai-open-sources-ai-agent-tool-phones-after-bytedance-privacy-backlash" TargetMode="External"/><Relationship Id="rId23" Type="http://schemas.openxmlformats.org/officeDocument/2006/relationships/hyperlink" Target="https://www.thenextweb.com/news/china-agentic-ai-smartphones-zte-navix-doubao-waic" TargetMode="External"/><Relationship Id="rId24" Type="http://schemas.openxmlformats.org/officeDocument/2006/relationships/hyperlink" Target="https://news.ainauten.com/markdown/open-source-hermes-aios-lernt-aus-deinem-workflow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61.5" hidden="false" customHeight="true" outlineLevel="0" collapsed="false">
      <c r="A4" s="3" t="s">
        <v>2</v>
      </c>
      <c r="B4" s="3"/>
      <c r="C4" s="3"/>
    </row>
    <row r="6" customFormat="false" ht="15" hidden="false" customHeight="false" outlineLevel="0" collapsed="false">
      <c r="A6" s="4" t="s">
        <v>3</v>
      </c>
      <c r="B6" s="5"/>
      <c r="C6" s="5"/>
    </row>
    <row r="7" customFormat="false" ht="15" hidden="false" customHeight="false" outlineLevel="0" collapsed="false">
      <c r="A7" s="6" t="s">
        <v>4</v>
      </c>
      <c r="B7" s="7" t="n">
        <f aca="false">COUNTA(Roadmap!$B$2:$B$21)</f>
        <v>20</v>
      </c>
    </row>
    <row r="8" customFormat="false" ht="15" hidden="false" customHeight="false" outlineLevel="0" collapsed="false">
      <c r="A8" s="6" t="s">
        <v>5</v>
      </c>
      <c r="B8" s="7" t="n">
        <f aca="false">COUNTIF(Roadmap!$E$2:$E$21,"完成")</f>
        <v>0</v>
      </c>
    </row>
    <row r="9" customFormat="false" ht="15" hidden="false" customHeight="false" outlineLevel="0" collapsed="false">
      <c r="A9" s="6" t="s">
        <v>6</v>
      </c>
      <c r="B9" s="7" t="n">
        <f aca="false">COUNTIF(Roadmap!$E$2:$E$21,"進行中")</f>
        <v>0</v>
      </c>
    </row>
    <row r="10" customFormat="false" ht="15" hidden="false" customHeight="false" outlineLevel="0" collapsed="false">
      <c r="A10" s="6" t="s">
        <v>7</v>
      </c>
      <c r="B10" s="7" t="n">
        <f aca="false">COUNTIF(Roadmap!$E$2:$E$21,"未開始")</f>
        <v>20</v>
      </c>
    </row>
    <row r="11" customFormat="false" ht="15" hidden="false" customHeight="false" outlineLevel="0" collapsed="false">
      <c r="A11" s="6" t="s">
        <v>8</v>
      </c>
      <c r="B11" s="8" t="n">
        <f aca="false">IFERROR(B8/B7,0)</f>
        <v>0</v>
      </c>
    </row>
    <row r="13" customFormat="false" ht="15" hidden="false" customHeight="false" outlineLevel="0" collapsed="false">
      <c r="A13" s="9" t="s">
        <v>9</v>
      </c>
      <c r="B13" s="5"/>
      <c r="C13" s="5"/>
    </row>
    <row r="14" customFormat="false" ht="15" hidden="false" customHeight="false" outlineLevel="0" collapsed="false">
      <c r="A14" s="10" t="s">
        <v>10</v>
      </c>
      <c r="B14" s="7" t="n">
        <f aca="false">COUNTIF(Roadmap!$A$2:$A$21,A14)</f>
        <v>5</v>
      </c>
    </row>
    <row r="15" customFormat="false" ht="15" hidden="false" customHeight="false" outlineLevel="0" collapsed="false">
      <c r="A15" s="10" t="s">
        <v>11</v>
      </c>
      <c r="B15" s="7" t="n">
        <f aca="false">COUNTIF(Roadmap!$A$2:$A$21,A15)</f>
        <v>6</v>
      </c>
    </row>
    <row r="16" customFormat="false" ht="15" hidden="false" customHeight="false" outlineLevel="0" collapsed="false">
      <c r="A16" s="10" t="s">
        <v>12</v>
      </c>
      <c r="B16" s="7" t="n">
        <f aca="false">COUNTIF(Roadmap!$A$2:$A$21,A16)</f>
        <v>4</v>
      </c>
    </row>
    <row r="17" customFormat="false" ht="15" hidden="false" customHeight="false" outlineLevel="0" collapsed="false">
      <c r="A17" s="10" t="s">
        <v>13</v>
      </c>
      <c r="B17" s="7" t="n">
        <f aca="false">COUNTIF(Roadmap!$A$2:$A$21,A17)</f>
        <v>2</v>
      </c>
    </row>
    <row r="18" customFormat="false" ht="15" hidden="false" customHeight="false" outlineLevel="0" collapsed="false">
      <c r="A18" s="10" t="s">
        <v>14</v>
      </c>
      <c r="B18" s="7" t="n">
        <f aca="false">COUNTIF(Roadmap!$A$2:$A$21,A18)</f>
        <v>3</v>
      </c>
    </row>
    <row r="20" customFormat="false" ht="15" hidden="false" customHeight="false" outlineLevel="0" collapsed="false">
      <c r="A20" s="9" t="s">
        <v>15</v>
      </c>
      <c r="B20" s="5"/>
      <c r="C20" s="5"/>
    </row>
    <row r="21" customFormat="false" ht="15" hidden="false" customHeight="false" outlineLevel="0" collapsed="false">
      <c r="A21" s="6" t="s">
        <v>16</v>
      </c>
      <c r="B21" s="7" t="n">
        <f aca="false">COUNTA(差距盤點!$B$2:$B$15)</f>
        <v>14</v>
      </c>
    </row>
    <row r="22" customFormat="false" ht="15" hidden="false" customHeight="false" outlineLevel="0" collapsed="false">
      <c r="A22" s="6" t="s">
        <v>17</v>
      </c>
      <c r="B22" s="7" t="n">
        <f aca="false">COUNTIF(差距盤點!$E$2:$E$15,"高")</f>
        <v>6</v>
      </c>
    </row>
    <row r="23" customFormat="false" ht="15" hidden="false" customHeight="false" outlineLevel="0" collapsed="false">
      <c r="A23" s="6" t="s">
        <v>18</v>
      </c>
      <c r="B23" s="7" t="n">
        <f aca="false">COUNTIF(差距盤點!$E$2:$E$15,"中")</f>
        <v>6</v>
      </c>
    </row>
    <row r="24" customFormat="false" ht="15" hidden="false" customHeight="false" outlineLevel="0" collapsed="false">
      <c r="A24" s="6" t="s">
        <v>19</v>
      </c>
      <c r="B24" s="7" t="n">
        <f aca="false">COUNTIF(差距盤點!$E$2:$E$15,"低")</f>
        <v>2</v>
      </c>
    </row>
    <row r="25" customFormat="false" ht="15" hidden="false" customHeight="false" outlineLevel="0" collapsed="false">
      <c r="A25" s="6" t="s">
        <v>20</v>
      </c>
      <c r="B25" s="7" t="n">
        <f aca="false">COUNTIF(差距盤點!$G$2:$G$15,"完成")</f>
        <v>0</v>
      </c>
    </row>
    <row r="27" customFormat="false" ht="15" hidden="false" customHeight="false" outlineLevel="0" collapsed="false">
      <c r="A27" s="9" t="s">
        <v>21</v>
      </c>
      <c r="B27" s="5"/>
      <c r="C27" s="5"/>
    </row>
    <row r="28" customFormat="false" ht="31.5" hidden="false" customHeight="true" outlineLevel="0" collapsed="false">
      <c r="A28" s="3" t="s">
        <v>22</v>
      </c>
      <c r="B28" s="3"/>
      <c r="C28" s="3"/>
    </row>
    <row r="29" customFormat="false" ht="31.5" hidden="false" customHeight="true" outlineLevel="0" collapsed="false">
      <c r="A29" s="3" t="s">
        <v>23</v>
      </c>
      <c r="B29" s="3"/>
      <c r="C29" s="3"/>
    </row>
    <row r="30" customFormat="false" ht="31.5" hidden="false" customHeight="true" outlineLevel="0" collapsed="false">
      <c r="A30" s="3" t="s">
        <v>24</v>
      </c>
      <c r="B30" s="3"/>
      <c r="C30" s="3"/>
    </row>
    <row r="31" customFormat="false" ht="31.5" hidden="false" customHeight="true" outlineLevel="0" collapsed="false">
      <c r="A31" s="3" t="s">
        <v>25</v>
      </c>
      <c r="B31" s="3"/>
      <c r="C31" s="3"/>
    </row>
  </sheetData>
  <mergeCells count="5">
    <mergeCell ref="A4:C4"/>
    <mergeCell ref="A28:C28"/>
    <mergeCell ref="A29:C29"/>
    <mergeCell ref="A30:C30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62"/>
    <col collapsed="false" customWidth="true" hidden="false" outlineLevel="0" max="4" min="4" style="0" width="38"/>
    <col collapsed="false" customWidth="true" hidden="false" outlineLevel="0" max="5" min="5" style="0" width="22"/>
    <col collapsed="false" customWidth="true" hidden="false" outlineLevel="0" max="6" min="6" style="0" width="48"/>
  </cols>
  <sheetData>
    <row r="1" customFormat="false" ht="15" hidden="false" customHeight="false" outlineLevel="0" collapsed="false">
      <c r="A1" s="11" t="s">
        <v>26</v>
      </c>
      <c r="B1" s="11" t="s">
        <v>27</v>
      </c>
      <c r="C1" s="11" t="s">
        <v>28</v>
      </c>
      <c r="D1" s="11" t="s">
        <v>29</v>
      </c>
      <c r="E1" s="11" t="s">
        <v>30</v>
      </c>
      <c r="F1" s="11" t="s">
        <v>31</v>
      </c>
    </row>
    <row r="2" customFormat="false" ht="29.85" hidden="false" customHeight="false" outlineLevel="0" collapsed="false">
      <c r="A2" s="12" t="s">
        <v>32</v>
      </c>
      <c r="B2" s="13" t="s">
        <v>33</v>
      </c>
      <c r="C2" s="14" t="s">
        <v>34</v>
      </c>
      <c r="D2" s="14" t="s">
        <v>35</v>
      </c>
      <c r="E2" s="14" t="s">
        <v>36</v>
      </c>
      <c r="F2" s="15" t="s">
        <v>37</v>
      </c>
    </row>
    <row r="3" customFormat="false" ht="44" hidden="false" customHeight="false" outlineLevel="0" collapsed="false">
      <c r="A3" s="12" t="s">
        <v>38</v>
      </c>
      <c r="B3" s="13" t="s">
        <v>39</v>
      </c>
      <c r="C3" s="14" t="s">
        <v>40</v>
      </c>
      <c r="D3" s="14" t="s">
        <v>41</v>
      </c>
      <c r="E3" s="14" t="s">
        <v>42</v>
      </c>
      <c r="F3" s="15" t="s">
        <v>43</v>
      </c>
    </row>
    <row r="4" customFormat="false" ht="29.85" hidden="false" customHeight="false" outlineLevel="0" collapsed="false">
      <c r="A4" s="12" t="s">
        <v>38</v>
      </c>
      <c r="B4" s="13" t="s">
        <v>44</v>
      </c>
      <c r="C4" s="14" t="s">
        <v>45</v>
      </c>
      <c r="D4" s="14" t="s">
        <v>46</v>
      </c>
      <c r="E4" s="14" t="s">
        <v>47</v>
      </c>
      <c r="F4" s="15" t="s">
        <v>48</v>
      </c>
    </row>
    <row r="5" customFormat="false" ht="44" hidden="false" customHeight="false" outlineLevel="0" collapsed="false">
      <c r="A5" s="16" t="s">
        <v>49</v>
      </c>
      <c r="B5" s="13" t="s">
        <v>50</v>
      </c>
      <c r="C5" s="13" t="s">
        <v>51</v>
      </c>
      <c r="D5" s="13" t="s">
        <v>52</v>
      </c>
      <c r="E5" s="14" t="s">
        <v>53</v>
      </c>
      <c r="F5" s="15" t="s">
        <v>54</v>
      </c>
    </row>
    <row r="6" customFormat="false" ht="29.85" hidden="false" customHeight="false" outlineLevel="0" collapsed="false">
      <c r="A6" s="16" t="s">
        <v>49</v>
      </c>
      <c r="B6" s="13" t="s">
        <v>55</v>
      </c>
      <c r="C6" s="13" t="s">
        <v>56</v>
      </c>
      <c r="D6" s="14" t="s">
        <v>57</v>
      </c>
      <c r="E6" s="14" t="s">
        <v>58</v>
      </c>
      <c r="F6" s="15" t="s">
        <v>59</v>
      </c>
    </row>
    <row r="7" customFormat="false" ht="15" hidden="false" customHeight="false" outlineLevel="0" collapsed="false">
      <c r="A7" s="16" t="s">
        <v>49</v>
      </c>
      <c r="B7" s="13" t="s">
        <v>60</v>
      </c>
      <c r="C7" s="14" t="s">
        <v>61</v>
      </c>
      <c r="D7" s="14" t="s">
        <v>62</v>
      </c>
      <c r="E7" s="14" t="s">
        <v>63</v>
      </c>
      <c r="F7" s="15" t="s">
        <v>64</v>
      </c>
    </row>
    <row r="8" customFormat="false" ht="29.85" hidden="false" customHeight="false" outlineLevel="0" collapsed="false">
      <c r="A8" s="12" t="s">
        <v>65</v>
      </c>
      <c r="B8" s="13" t="s">
        <v>66</v>
      </c>
      <c r="C8" s="14" t="s">
        <v>67</v>
      </c>
      <c r="D8" s="14" t="s">
        <v>68</v>
      </c>
      <c r="E8" s="14" t="s">
        <v>69</v>
      </c>
      <c r="F8" s="15" t="s">
        <v>70</v>
      </c>
    </row>
    <row r="9" customFormat="false" ht="44" hidden="false" customHeight="false" outlineLevel="0" collapsed="false">
      <c r="A9" s="12" t="s">
        <v>65</v>
      </c>
      <c r="B9" s="13" t="s">
        <v>71</v>
      </c>
      <c r="C9" s="13" t="s">
        <v>72</v>
      </c>
      <c r="D9" s="14" t="s">
        <v>73</v>
      </c>
      <c r="E9" s="14" t="s">
        <v>74</v>
      </c>
      <c r="F9" s="15" t="s">
        <v>75</v>
      </c>
    </row>
    <row r="10" customFormat="false" ht="41" hidden="false" customHeight="false" outlineLevel="0" collapsed="false">
      <c r="A10" s="12" t="s">
        <v>65</v>
      </c>
      <c r="B10" s="13" t="s">
        <v>76</v>
      </c>
      <c r="C10" s="14" t="s">
        <v>77</v>
      </c>
      <c r="D10" s="14" t="s">
        <v>78</v>
      </c>
      <c r="E10" s="14" t="s">
        <v>79</v>
      </c>
      <c r="F10" s="15" t="s">
        <v>80</v>
      </c>
    </row>
    <row r="11" customFormat="false" ht="29.85" hidden="false" customHeight="false" outlineLevel="0" collapsed="false">
      <c r="A11" s="12" t="s">
        <v>81</v>
      </c>
      <c r="B11" s="13" t="s">
        <v>82</v>
      </c>
      <c r="C11" s="14" t="s">
        <v>83</v>
      </c>
      <c r="D11" s="14" t="s">
        <v>84</v>
      </c>
      <c r="E11" s="14" t="s">
        <v>85</v>
      </c>
      <c r="F11" s="15" t="s">
        <v>86</v>
      </c>
    </row>
    <row r="12" customFormat="false" ht="29.85" hidden="false" customHeight="false" outlineLevel="0" collapsed="false">
      <c r="A12" s="12" t="s">
        <v>81</v>
      </c>
      <c r="B12" s="13" t="s">
        <v>87</v>
      </c>
      <c r="C12" s="13" t="s">
        <v>88</v>
      </c>
      <c r="D12" s="14" t="s">
        <v>89</v>
      </c>
      <c r="E12" s="14" t="s">
        <v>79</v>
      </c>
      <c r="F12" s="15" t="s">
        <v>90</v>
      </c>
    </row>
    <row r="13" customFormat="false" ht="29.85" hidden="false" customHeight="false" outlineLevel="0" collapsed="false">
      <c r="A13" s="12" t="s">
        <v>91</v>
      </c>
      <c r="B13" s="14" t="s">
        <v>92</v>
      </c>
      <c r="C13" s="13" t="s">
        <v>93</v>
      </c>
      <c r="D13" s="14" t="s">
        <v>94</v>
      </c>
      <c r="E13" s="14" t="s">
        <v>95</v>
      </c>
      <c r="F13" s="15" t="s">
        <v>96</v>
      </c>
    </row>
    <row r="14" customFormat="false" ht="44" hidden="false" customHeight="false" outlineLevel="0" collapsed="false">
      <c r="A14" s="12" t="s">
        <v>91</v>
      </c>
      <c r="B14" s="14" t="s">
        <v>97</v>
      </c>
      <c r="C14" s="13" t="s">
        <v>98</v>
      </c>
      <c r="D14" s="14" t="s">
        <v>99</v>
      </c>
      <c r="E14" s="14" t="s">
        <v>100</v>
      </c>
      <c r="F14" s="15" t="s">
        <v>101</v>
      </c>
    </row>
    <row r="15" customFormat="false" ht="29.85" hidden="false" customHeight="false" outlineLevel="0" collapsed="false">
      <c r="A15" s="12" t="s">
        <v>102</v>
      </c>
      <c r="B15" s="14" t="s">
        <v>103</v>
      </c>
      <c r="C15" s="14" t="s">
        <v>104</v>
      </c>
      <c r="D15" s="14" t="s">
        <v>105</v>
      </c>
      <c r="E15" s="14" t="s">
        <v>106</v>
      </c>
      <c r="F15" s="15" t="s">
        <v>107</v>
      </c>
    </row>
    <row r="16" customFormat="false" ht="29.85" hidden="false" customHeight="false" outlineLevel="0" collapsed="false">
      <c r="A16" s="12" t="s">
        <v>102</v>
      </c>
      <c r="B16" s="13" t="s">
        <v>108</v>
      </c>
      <c r="C16" s="14" t="s">
        <v>109</v>
      </c>
      <c r="D16" s="14" t="s">
        <v>110</v>
      </c>
      <c r="E16" s="14" t="s">
        <v>106</v>
      </c>
      <c r="F16" s="15" t="s">
        <v>111</v>
      </c>
    </row>
  </sheetData>
  <autoFilter ref="A1:F16"/>
  <hyperlinks>
    <hyperlink ref="F2" r:id="rId1" display="https://arxiv.org/html/2403.16971v2"/>
    <hyperlink ref="F3" r:id="rId2" display="https://securityboulevard.com/2026/03/latest-openclaw-flaw-can-let-malicious-websites-hijack-local-ai-agents/"/>
    <hyperlink ref="F4" r:id="rId3" display="https://news.ainauten.com/markdown/open-source-hermes-aios-lernt-aus-deinem-workflow"/>
    <hyperlink ref="F5" r:id="rId4" display="https://techspective.net/2025/11/18/windows-becoming-operating-system-for-ai-agents/"/>
    <hyperlink ref="F6" r:id="rId5" display="https://macrumors.com/2026/05/12/google-previews-android-17/"/>
    <hyperlink ref="F7" r:id="rId6" display="https://www.gizmodo.com/siri-total-chatbot-makeover-is-imminent-with-ios-27-2000757747"/>
    <hyperlink ref="F8" r:id="rId7" display="https://noqta.tn/en/news/openai-frontier-enterprise-ai-agent-platform-2026"/>
    <hyperlink ref="F9" r:id="rId8" display="https://mythos.one/me/brianswichkow/1ba4d7"/>
    <hyperlink ref="F10" r:id="rId9" display="https://algeriatech.news/?p=22501"/>
    <hyperlink ref="F11" r:id="rId10" display="https://tarrysingh.com/blog/the-agent-stack-just-became-a-standard"/>
    <hyperlink ref="F12" r:id="rId11" display="https://algeriatech.news/?p=35142"/>
    <hyperlink ref="F13" r:id="rId12" display="https://www.beam.cloud/blog/best-e2b-alternatives"/>
    <hyperlink ref="F14" r:id="rId13" display="https://www.developersdigest.tech/blog/best-ai-agent-memory-providers-2026"/>
    <hyperlink ref="F15" r:id="rId14" display="https://www.scmp.com/tech/tech-trends/article/3335746/chinas-zai-open-sources-ai-agent-tool-phones-after-bytedance-privacy-backlash"/>
    <hyperlink ref="F16" r:id="rId15" display="https://www.thenextweb.com/news/china-agentic-ai-smartphones-zte-navix-doubao-waic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4" min="4" style="0" width="56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7" t="s">
        <v>112</v>
      </c>
      <c r="B1" s="11" t="s">
        <v>113</v>
      </c>
      <c r="C1" s="17" t="s">
        <v>114</v>
      </c>
      <c r="D1" s="11" t="s">
        <v>115</v>
      </c>
      <c r="E1" s="11" t="s">
        <v>116</v>
      </c>
      <c r="F1" s="11" t="s">
        <v>117</v>
      </c>
      <c r="G1" s="11" t="s">
        <v>118</v>
      </c>
    </row>
    <row r="2" customFormat="false" ht="44" hidden="false" customHeight="false" outlineLevel="0" collapsed="false">
      <c r="A2" s="12" t="n">
        <v>1</v>
      </c>
      <c r="B2" s="14" t="s">
        <v>119</v>
      </c>
      <c r="C2" s="14" t="s">
        <v>120</v>
      </c>
      <c r="D2" s="14" t="s">
        <v>121</v>
      </c>
      <c r="E2" s="18" t="s">
        <v>122</v>
      </c>
      <c r="F2" s="16" t="s">
        <v>11</v>
      </c>
      <c r="G2" s="18" t="s">
        <v>7</v>
      </c>
    </row>
    <row r="3" customFormat="false" ht="15" hidden="false" customHeight="false" outlineLevel="0" collapsed="false">
      <c r="A3" s="12" t="n">
        <v>2</v>
      </c>
      <c r="B3" s="14" t="s">
        <v>123</v>
      </c>
      <c r="C3" s="14" t="s">
        <v>124</v>
      </c>
      <c r="D3" s="13" t="s">
        <v>125</v>
      </c>
      <c r="E3" s="18" t="s">
        <v>122</v>
      </c>
      <c r="F3" s="16" t="s">
        <v>10</v>
      </c>
      <c r="G3" s="18" t="s">
        <v>7</v>
      </c>
    </row>
    <row r="4" customFormat="false" ht="15" hidden="false" customHeight="false" outlineLevel="0" collapsed="false">
      <c r="A4" s="12" t="n">
        <v>3</v>
      </c>
      <c r="B4" s="14" t="s">
        <v>126</v>
      </c>
      <c r="C4" s="14" t="s">
        <v>127</v>
      </c>
      <c r="D4" s="13" t="s">
        <v>128</v>
      </c>
      <c r="E4" s="18" t="s">
        <v>122</v>
      </c>
      <c r="F4" s="16" t="s">
        <v>10</v>
      </c>
      <c r="G4" s="18" t="s">
        <v>7</v>
      </c>
    </row>
    <row r="5" customFormat="false" ht="15" hidden="false" customHeight="false" outlineLevel="0" collapsed="false">
      <c r="A5" s="12" t="n">
        <v>4</v>
      </c>
      <c r="B5" s="14" t="s">
        <v>129</v>
      </c>
      <c r="C5" s="14" t="s">
        <v>130</v>
      </c>
      <c r="D5" s="13" t="s">
        <v>131</v>
      </c>
      <c r="E5" s="18" t="s">
        <v>132</v>
      </c>
      <c r="F5" s="16" t="s">
        <v>10</v>
      </c>
      <c r="G5" s="18" t="s">
        <v>7</v>
      </c>
    </row>
    <row r="6" customFormat="false" ht="29.85" hidden="false" customHeight="false" outlineLevel="0" collapsed="false">
      <c r="A6" s="12" t="n">
        <v>5</v>
      </c>
      <c r="B6" s="14" t="s">
        <v>133</v>
      </c>
      <c r="C6" s="14" t="s">
        <v>134</v>
      </c>
      <c r="D6" s="14" t="s">
        <v>135</v>
      </c>
      <c r="E6" s="18" t="s">
        <v>122</v>
      </c>
      <c r="F6" s="16" t="s">
        <v>11</v>
      </c>
      <c r="G6" s="18" t="s">
        <v>7</v>
      </c>
    </row>
    <row r="7" customFormat="false" ht="15" hidden="false" customHeight="false" outlineLevel="0" collapsed="false">
      <c r="A7" s="12" t="n">
        <v>6</v>
      </c>
      <c r="B7" s="14" t="s">
        <v>136</v>
      </c>
      <c r="C7" s="13" t="s">
        <v>137</v>
      </c>
      <c r="D7" s="13" t="s">
        <v>138</v>
      </c>
      <c r="E7" s="18" t="s">
        <v>122</v>
      </c>
      <c r="F7" s="16" t="s">
        <v>11</v>
      </c>
      <c r="G7" s="18" t="s">
        <v>7</v>
      </c>
    </row>
    <row r="8" customFormat="false" ht="15" hidden="false" customHeight="false" outlineLevel="0" collapsed="false">
      <c r="A8" s="12" t="n">
        <v>7</v>
      </c>
      <c r="B8" s="14" t="s">
        <v>139</v>
      </c>
      <c r="C8" s="14" t="s">
        <v>140</v>
      </c>
      <c r="D8" s="14" t="s">
        <v>141</v>
      </c>
      <c r="E8" s="18" t="s">
        <v>132</v>
      </c>
      <c r="F8" s="16" t="s">
        <v>10</v>
      </c>
      <c r="G8" s="18" t="s">
        <v>7</v>
      </c>
    </row>
    <row r="9" customFormat="false" ht="15" hidden="false" customHeight="false" outlineLevel="0" collapsed="false">
      <c r="A9" s="12" t="n">
        <v>8</v>
      </c>
      <c r="B9" s="14" t="s">
        <v>142</v>
      </c>
      <c r="C9" s="14" t="s">
        <v>143</v>
      </c>
      <c r="D9" s="13" t="s">
        <v>144</v>
      </c>
      <c r="E9" s="18" t="s">
        <v>132</v>
      </c>
      <c r="F9" s="16" t="s">
        <v>10</v>
      </c>
      <c r="G9" s="18" t="s">
        <v>7</v>
      </c>
    </row>
    <row r="10" customFormat="false" ht="15" hidden="false" customHeight="false" outlineLevel="0" collapsed="false">
      <c r="A10" s="12" t="n">
        <v>9</v>
      </c>
      <c r="B10" s="14" t="s">
        <v>145</v>
      </c>
      <c r="C10" s="14" t="s">
        <v>146</v>
      </c>
      <c r="D10" s="13" t="s">
        <v>147</v>
      </c>
      <c r="E10" s="18" t="s">
        <v>132</v>
      </c>
      <c r="F10" s="16" t="s">
        <v>11</v>
      </c>
      <c r="G10" s="18" t="s">
        <v>7</v>
      </c>
    </row>
    <row r="11" customFormat="false" ht="15" hidden="false" customHeight="false" outlineLevel="0" collapsed="false">
      <c r="A11" s="12" t="n">
        <v>10</v>
      </c>
      <c r="B11" s="13" t="s">
        <v>148</v>
      </c>
      <c r="C11" s="14" t="s">
        <v>149</v>
      </c>
      <c r="D11" s="13" t="s">
        <v>150</v>
      </c>
      <c r="E11" s="18" t="s">
        <v>132</v>
      </c>
      <c r="F11" s="16" t="s">
        <v>11</v>
      </c>
      <c r="G11" s="18" t="s">
        <v>7</v>
      </c>
    </row>
    <row r="12" customFormat="false" ht="15" hidden="false" customHeight="false" outlineLevel="0" collapsed="false">
      <c r="A12" s="12" t="n">
        <v>11</v>
      </c>
      <c r="B12" s="13" t="s">
        <v>151</v>
      </c>
      <c r="C12" s="13" t="s">
        <v>152</v>
      </c>
      <c r="D12" s="13" t="s">
        <v>153</v>
      </c>
      <c r="E12" s="18" t="s">
        <v>122</v>
      </c>
      <c r="F12" s="16" t="s">
        <v>12</v>
      </c>
      <c r="G12" s="18" t="s">
        <v>7</v>
      </c>
    </row>
    <row r="13" customFormat="false" ht="15" hidden="false" customHeight="false" outlineLevel="0" collapsed="false">
      <c r="A13" s="12" t="n">
        <v>12</v>
      </c>
      <c r="B13" s="14" t="s">
        <v>154</v>
      </c>
      <c r="C13" s="14" t="s">
        <v>155</v>
      </c>
      <c r="D13" s="13" t="s">
        <v>156</v>
      </c>
      <c r="E13" s="18" t="s">
        <v>132</v>
      </c>
      <c r="F13" s="16" t="s">
        <v>12</v>
      </c>
      <c r="G13" s="18" t="s">
        <v>7</v>
      </c>
    </row>
    <row r="14" customFormat="false" ht="15" hidden="false" customHeight="false" outlineLevel="0" collapsed="false">
      <c r="A14" s="12" t="n">
        <v>13</v>
      </c>
      <c r="B14" s="14" t="s">
        <v>157</v>
      </c>
      <c r="C14" s="14" t="s">
        <v>158</v>
      </c>
      <c r="D14" s="14" t="s">
        <v>159</v>
      </c>
      <c r="E14" s="18" t="s">
        <v>160</v>
      </c>
      <c r="F14" s="16" t="s">
        <v>12</v>
      </c>
      <c r="G14" s="18" t="s">
        <v>7</v>
      </c>
    </row>
    <row r="15" customFormat="false" ht="15" hidden="false" customHeight="false" outlineLevel="0" collapsed="false">
      <c r="A15" s="12" t="n">
        <v>14</v>
      </c>
      <c r="B15" s="14" t="s">
        <v>161</v>
      </c>
      <c r="C15" s="14" t="s">
        <v>162</v>
      </c>
      <c r="D15" s="13" t="s">
        <v>163</v>
      </c>
      <c r="E15" s="18" t="s">
        <v>160</v>
      </c>
      <c r="F15" s="16" t="s">
        <v>12</v>
      </c>
      <c r="G15" s="18" t="s">
        <v>7</v>
      </c>
    </row>
  </sheetData>
  <autoFilter ref="A1:G15"/>
  <conditionalFormatting sqref="E2:E15">
    <cfRule type="cellIs" priority="2" operator="equal" aboveAverage="0" equalAverage="0" bottom="0" percent="0" rank="0" text="" dxfId="6">
      <formula>"高"</formula>
    </cfRule>
  </conditionalFormatting>
  <conditionalFormatting sqref="G2:G15">
    <cfRule type="cellIs" priority="3" operator="equal" aboveAverage="0" equalAverage="0" bottom="0" percent="0" rank="0" text="" dxfId="7">
      <formula>"完成"</formula>
    </cfRule>
    <cfRule type="cellIs" priority="4" operator="equal" aboveAverage="0" equalAverage="0" bottom="0" percent="0" rank="0" text="" dxfId="8">
      <formula>"進行中"</formula>
    </cfRule>
  </conditionalFormatting>
  <dataValidations count="2">
    <dataValidation allowBlank="false" errorStyle="stop" operator="between" showDropDown="false" showErrorMessage="false" showInputMessage="false" sqref="E2:E15" type="list">
      <formula1>"高,中,低"</formula1>
      <formula2>0</formula2>
    </dataValidation>
    <dataValidation allowBlank="false" errorStyle="stop" operator="between" showDropDown="false" showErrorMessage="false" showInputMessage="false" sqref="G2:G15" type="list">
      <formula1>"未開始,進行中,完成"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4" min="3" style="0" width="10"/>
    <col collapsed="false" customWidth="true" hidden="false" outlineLevel="0" max="5" min="5" style="0" width="44"/>
  </cols>
  <sheetData>
    <row r="1" customFormat="false" ht="15" hidden="false" customHeight="false" outlineLevel="0" collapsed="false">
      <c r="A1" s="11" t="s">
        <v>164</v>
      </c>
      <c r="B1" s="11" t="s">
        <v>165</v>
      </c>
      <c r="C1" s="11" t="s">
        <v>166</v>
      </c>
      <c r="D1" s="11" t="s">
        <v>167</v>
      </c>
      <c r="E1" s="11" t="s">
        <v>168</v>
      </c>
    </row>
    <row r="2" customFormat="false" ht="15" hidden="false" customHeight="false" outlineLevel="0" collapsed="false">
      <c r="A2" s="16" t="s">
        <v>10</v>
      </c>
      <c r="B2" s="16" t="s">
        <v>169</v>
      </c>
      <c r="C2" s="19" t="n">
        <v>1</v>
      </c>
      <c r="D2" s="19" t="n">
        <v>1</v>
      </c>
      <c r="E2" s="14" t="s">
        <v>170</v>
      </c>
    </row>
    <row r="3" customFormat="false" ht="15" hidden="false" customHeight="false" outlineLevel="0" collapsed="false">
      <c r="A3" s="16" t="s">
        <v>11</v>
      </c>
      <c r="B3" s="16" t="s">
        <v>171</v>
      </c>
      <c r="C3" s="19" t="n">
        <v>1</v>
      </c>
      <c r="D3" s="19" t="n">
        <v>2</v>
      </c>
      <c r="E3" s="14" t="s">
        <v>172</v>
      </c>
    </row>
    <row r="4" customFormat="false" ht="15" hidden="false" customHeight="false" outlineLevel="0" collapsed="false">
      <c r="A4" s="16" t="s">
        <v>12</v>
      </c>
      <c r="B4" s="16" t="s">
        <v>173</v>
      </c>
      <c r="C4" s="19" t="n">
        <v>3</v>
      </c>
      <c r="D4" s="19" t="n">
        <v>4</v>
      </c>
      <c r="E4" s="14" t="s">
        <v>174</v>
      </c>
    </row>
    <row r="5" customFormat="false" ht="15" hidden="false" customHeight="false" outlineLevel="0" collapsed="false">
      <c r="A5" s="16" t="s">
        <v>13</v>
      </c>
      <c r="B5" s="16" t="s">
        <v>175</v>
      </c>
      <c r="C5" s="19" t="n">
        <v>6</v>
      </c>
      <c r="D5" s="19" t="n">
        <v>9</v>
      </c>
      <c r="E5" s="14" t="s">
        <v>176</v>
      </c>
    </row>
    <row r="6" customFormat="false" ht="15" hidden="false" customHeight="false" outlineLevel="0" collapsed="false">
      <c r="A6" s="16" t="s">
        <v>14</v>
      </c>
      <c r="B6" s="16" t="s">
        <v>177</v>
      </c>
      <c r="C6" s="19" t="n">
        <v>12</v>
      </c>
      <c r="D6" s="19" t="n">
        <v>12</v>
      </c>
      <c r="E6" s="14" t="s">
        <v>178</v>
      </c>
    </row>
    <row r="8" customFormat="false" ht="15" hidden="false" customHeight="false" outlineLevel="0" collapsed="false">
      <c r="A8" s="2" t="s">
        <v>179</v>
      </c>
    </row>
    <row r="9" customFormat="false" ht="43.5" hidden="false" customHeight="true" outlineLevel="0" collapsed="false">
      <c r="A9" s="3" t="s">
        <v>180</v>
      </c>
      <c r="B9" s="3"/>
      <c r="C9" s="3"/>
      <c r="D9" s="3"/>
      <c r="E9" s="3"/>
    </row>
  </sheetData>
  <mergeCells count="1"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4" min="3" style="0" width="9"/>
    <col collapsed="false" customWidth="true" hidden="false" outlineLevel="0" max="5" min="5" style="0" width="10"/>
    <col collapsed="false" customWidth="true" hidden="false" outlineLevel="0" max="6" min="6" style="0" width="2"/>
    <col collapsed="false" customWidth="true" hidden="false" outlineLevel="0" max="18" min="7" style="0" width="4.5"/>
  </cols>
  <sheetData>
    <row r="1" customFormat="false" ht="15" hidden="false" customHeight="false" outlineLevel="0" collapsed="false">
      <c r="A1" s="11" t="s">
        <v>164</v>
      </c>
      <c r="B1" s="11" t="s">
        <v>181</v>
      </c>
      <c r="C1" s="11" t="s">
        <v>166</v>
      </c>
      <c r="D1" s="11" t="s">
        <v>167</v>
      </c>
      <c r="E1" s="11" t="s">
        <v>118</v>
      </c>
      <c r="F1" s="11"/>
      <c r="G1" s="11" t="n">
        <v>1</v>
      </c>
      <c r="H1" s="11" t="n">
        <v>2</v>
      </c>
      <c r="I1" s="11" t="n">
        <v>3</v>
      </c>
      <c r="J1" s="11" t="n">
        <v>4</v>
      </c>
      <c r="K1" s="11" t="n">
        <v>5</v>
      </c>
      <c r="L1" s="11" t="n">
        <v>6</v>
      </c>
      <c r="M1" s="11" t="n">
        <v>7</v>
      </c>
      <c r="N1" s="11" t="n">
        <v>8</v>
      </c>
      <c r="O1" s="11" t="n">
        <v>9</v>
      </c>
      <c r="P1" s="11" t="n">
        <v>10</v>
      </c>
      <c r="Q1" s="11" t="n">
        <v>11</v>
      </c>
      <c r="R1" s="11" t="n">
        <v>12</v>
      </c>
    </row>
    <row r="2" customFormat="false" ht="15" hidden="false" customHeight="false" outlineLevel="0" collapsed="false">
      <c r="A2" s="13" t="s">
        <v>10</v>
      </c>
      <c r="B2" s="14" t="s">
        <v>142</v>
      </c>
      <c r="C2" s="20" t="n">
        <f aca="false">INDEX(階段!$C$2:$C$6,MATCH($A2,階段!$A$2:$A$6,0))</f>
        <v>1</v>
      </c>
      <c r="D2" s="20" t="n">
        <f aca="false">INDEX(階段!$D$2:$D$6,MATCH($A2,階段!$A$2:$A$6,0))</f>
        <v>1</v>
      </c>
      <c r="E2" s="18" t="s">
        <v>7</v>
      </c>
      <c r="G2" s="21" t="n">
        <f aca="false">IF(AND(G$1&gt;=$C2,G$1&lt;=$D2),1,"")</f>
        <v>1</v>
      </c>
      <c r="H2" s="21" t="str">
        <f aca="false">IF(AND(H$1&gt;=$C2,H$1&lt;=$D2),1,"")</f>
        <v/>
      </c>
      <c r="I2" s="21" t="str">
        <f aca="false">IF(AND(I$1&gt;=$C2,I$1&lt;=$D2),1,"")</f>
        <v/>
      </c>
      <c r="J2" s="21" t="str">
        <f aca="false">IF(AND(J$1&gt;=$C2,J$1&lt;=$D2),1,"")</f>
        <v/>
      </c>
      <c r="K2" s="21" t="str">
        <f aca="false">IF(AND(K$1&gt;=$C2,K$1&lt;=$D2),1,"")</f>
        <v/>
      </c>
      <c r="L2" s="21" t="str">
        <f aca="false">IF(AND(L$1&gt;=$C2,L$1&lt;=$D2),1,"")</f>
        <v/>
      </c>
      <c r="M2" s="21" t="str">
        <f aca="false">IF(AND(M$1&gt;=$C2,M$1&lt;=$D2),1,"")</f>
        <v/>
      </c>
      <c r="N2" s="21" t="str">
        <f aca="false">IF(AND(N$1&gt;=$C2,N$1&lt;=$D2),1,"")</f>
        <v/>
      </c>
      <c r="O2" s="21" t="str">
        <f aca="false">IF(AND(O$1&gt;=$C2,O$1&lt;=$D2),1,"")</f>
        <v/>
      </c>
      <c r="P2" s="21" t="str">
        <f aca="false">IF(AND(P$1&gt;=$C2,P$1&lt;=$D2),1,"")</f>
        <v/>
      </c>
      <c r="Q2" s="21" t="str">
        <f aca="false">IF(AND(Q$1&gt;=$C2,Q$1&lt;=$D2),1,"")</f>
        <v/>
      </c>
      <c r="R2" s="21" t="str">
        <f aca="false">IF(AND(R$1&gt;=$C2,R$1&lt;=$D2),1,"")</f>
        <v/>
      </c>
    </row>
    <row r="3" customFormat="false" ht="15" hidden="false" customHeight="false" outlineLevel="0" collapsed="false">
      <c r="A3" s="13" t="s">
        <v>10</v>
      </c>
      <c r="B3" s="14" t="s">
        <v>126</v>
      </c>
      <c r="C3" s="20" t="n">
        <f aca="false">INDEX(階段!$C$2:$C$6,MATCH($A3,階段!$A$2:$A$6,0))</f>
        <v>1</v>
      </c>
      <c r="D3" s="20" t="n">
        <f aca="false">INDEX(階段!$D$2:$D$6,MATCH($A3,階段!$A$2:$A$6,0))</f>
        <v>1</v>
      </c>
      <c r="E3" s="18" t="s">
        <v>7</v>
      </c>
      <c r="G3" s="21" t="n">
        <f aca="false">IF(AND(G$1&gt;=$C3,G$1&lt;=$D3),1,"")</f>
        <v>1</v>
      </c>
      <c r="H3" s="21" t="str">
        <f aca="false">IF(AND(H$1&gt;=$C3,H$1&lt;=$D3),1,"")</f>
        <v/>
      </c>
      <c r="I3" s="21" t="str">
        <f aca="false">IF(AND(I$1&gt;=$C3,I$1&lt;=$D3),1,"")</f>
        <v/>
      </c>
      <c r="J3" s="21" t="str">
        <f aca="false">IF(AND(J$1&gt;=$C3,J$1&lt;=$D3),1,"")</f>
        <v/>
      </c>
      <c r="K3" s="21" t="str">
        <f aca="false">IF(AND(K$1&gt;=$C3,K$1&lt;=$D3),1,"")</f>
        <v/>
      </c>
      <c r="L3" s="21" t="str">
        <f aca="false">IF(AND(L$1&gt;=$C3,L$1&lt;=$D3),1,"")</f>
        <v/>
      </c>
      <c r="M3" s="21" t="str">
        <f aca="false">IF(AND(M$1&gt;=$C3,M$1&lt;=$D3),1,"")</f>
        <v/>
      </c>
      <c r="N3" s="21" t="str">
        <f aca="false">IF(AND(N$1&gt;=$C3,N$1&lt;=$D3),1,"")</f>
        <v/>
      </c>
      <c r="O3" s="21" t="str">
        <f aca="false">IF(AND(O$1&gt;=$C3,O$1&lt;=$D3),1,"")</f>
        <v/>
      </c>
      <c r="P3" s="21" t="str">
        <f aca="false">IF(AND(P$1&gt;=$C3,P$1&lt;=$D3),1,"")</f>
        <v/>
      </c>
      <c r="Q3" s="21" t="str">
        <f aca="false">IF(AND(Q$1&gt;=$C3,Q$1&lt;=$D3),1,"")</f>
        <v/>
      </c>
      <c r="R3" s="21" t="str">
        <f aca="false">IF(AND(R$1&gt;=$C3,R$1&lt;=$D3),1,"")</f>
        <v/>
      </c>
    </row>
    <row r="4" customFormat="false" ht="15" hidden="false" customHeight="false" outlineLevel="0" collapsed="false">
      <c r="A4" s="13" t="s">
        <v>10</v>
      </c>
      <c r="B4" s="14" t="s">
        <v>182</v>
      </c>
      <c r="C4" s="20" t="n">
        <f aca="false">INDEX(階段!$C$2:$C$6,MATCH($A4,階段!$A$2:$A$6,0))</f>
        <v>1</v>
      </c>
      <c r="D4" s="20" t="n">
        <f aca="false">INDEX(階段!$D$2:$D$6,MATCH($A4,階段!$A$2:$A$6,0))</f>
        <v>1</v>
      </c>
      <c r="E4" s="18" t="s">
        <v>7</v>
      </c>
      <c r="G4" s="21" t="n">
        <f aca="false">IF(AND(G$1&gt;=$C4,G$1&lt;=$D4),1,"")</f>
        <v>1</v>
      </c>
      <c r="H4" s="21" t="str">
        <f aca="false">IF(AND(H$1&gt;=$C4,H$1&lt;=$D4),1,"")</f>
        <v/>
      </c>
      <c r="I4" s="21" t="str">
        <f aca="false">IF(AND(I$1&gt;=$C4,I$1&lt;=$D4),1,"")</f>
        <v/>
      </c>
      <c r="J4" s="21" t="str">
        <f aca="false">IF(AND(J$1&gt;=$C4,J$1&lt;=$D4),1,"")</f>
        <v/>
      </c>
      <c r="K4" s="21" t="str">
        <f aca="false">IF(AND(K$1&gt;=$C4,K$1&lt;=$D4),1,"")</f>
        <v/>
      </c>
      <c r="L4" s="21" t="str">
        <f aca="false">IF(AND(L$1&gt;=$C4,L$1&lt;=$D4),1,"")</f>
        <v/>
      </c>
      <c r="M4" s="21" t="str">
        <f aca="false">IF(AND(M$1&gt;=$C4,M$1&lt;=$D4),1,"")</f>
        <v/>
      </c>
      <c r="N4" s="21" t="str">
        <f aca="false">IF(AND(N$1&gt;=$C4,N$1&lt;=$D4),1,"")</f>
        <v/>
      </c>
      <c r="O4" s="21" t="str">
        <f aca="false">IF(AND(O$1&gt;=$C4,O$1&lt;=$D4),1,"")</f>
        <v/>
      </c>
      <c r="P4" s="21" t="str">
        <f aca="false">IF(AND(P$1&gt;=$C4,P$1&lt;=$D4),1,"")</f>
        <v/>
      </c>
      <c r="Q4" s="21" t="str">
        <f aca="false">IF(AND(Q$1&gt;=$C4,Q$1&lt;=$D4),1,"")</f>
        <v/>
      </c>
      <c r="R4" s="21" t="str">
        <f aca="false">IF(AND(R$1&gt;=$C4,R$1&lt;=$D4),1,"")</f>
        <v/>
      </c>
    </row>
    <row r="5" customFormat="false" ht="15" hidden="false" customHeight="false" outlineLevel="0" collapsed="false">
      <c r="A5" s="13" t="s">
        <v>10</v>
      </c>
      <c r="B5" s="14" t="s">
        <v>129</v>
      </c>
      <c r="C5" s="20" t="n">
        <f aca="false">INDEX(階段!$C$2:$C$6,MATCH($A5,階段!$A$2:$A$6,0))</f>
        <v>1</v>
      </c>
      <c r="D5" s="20" t="n">
        <f aca="false">INDEX(階段!$D$2:$D$6,MATCH($A5,階段!$A$2:$A$6,0))</f>
        <v>1</v>
      </c>
      <c r="E5" s="18" t="s">
        <v>7</v>
      </c>
      <c r="G5" s="21" t="n">
        <f aca="false">IF(AND(G$1&gt;=$C5,G$1&lt;=$D5),1,"")</f>
        <v>1</v>
      </c>
      <c r="H5" s="21" t="str">
        <f aca="false">IF(AND(H$1&gt;=$C5,H$1&lt;=$D5),1,"")</f>
        <v/>
      </c>
      <c r="I5" s="21" t="str">
        <f aca="false">IF(AND(I$1&gt;=$C5,I$1&lt;=$D5),1,"")</f>
        <v/>
      </c>
      <c r="J5" s="21" t="str">
        <f aca="false">IF(AND(J$1&gt;=$C5,J$1&lt;=$D5),1,"")</f>
        <v/>
      </c>
      <c r="K5" s="21" t="str">
        <f aca="false">IF(AND(K$1&gt;=$C5,K$1&lt;=$D5),1,"")</f>
        <v/>
      </c>
      <c r="L5" s="21" t="str">
        <f aca="false">IF(AND(L$1&gt;=$C5,L$1&lt;=$D5),1,"")</f>
        <v/>
      </c>
      <c r="M5" s="21" t="str">
        <f aca="false">IF(AND(M$1&gt;=$C5,M$1&lt;=$D5),1,"")</f>
        <v/>
      </c>
      <c r="N5" s="21" t="str">
        <f aca="false">IF(AND(N$1&gt;=$C5,N$1&lt;=$D5),1,"")</f>
        <v/>
      </c>
      <c r="O5" s="21" t="str">
        <f aca="false">IF(AND(O$1&gt;=$C5,O$1&lt;=$D5),1,"")</f>
        <v/>
      </c>
      <c r="P5" s="21" t="str">
        <f aca="false">IF(AND(P$1&gt;=$C5,P$1&lt;=$D5),1,"")</f>
        <v/>
      </c>
      <c r="Q5" s="21" t="str">
        <f aca="false">IF(AND(Q$1&gt;=$C5,Q$1&lt;=$D5),1,"")</f>
        <v/>
      </c>
      <c r="R5" s="21" t="str">
        <f aca="false">IF(AND(R$1&gt;=$C5,R$1&lt;=$D5),1,"")</f>
        <v/>
      </c>
    </row>
    <row r="6" customFormat="false" ht="15" hidden="false" customHeight="false" outlineLevel="0" collapsed="false">
      <c r="A6" s="13" t="s">
        <v>10</v>
      </c>
      <c r="B6" s="14" t="s">
        <v>183</v>
      </c>
      <c r="C6" s="20" t="n">
        <f aca="false">INDEX(階段!$C$2:$C$6,MATCH($A6,階段!$A$2:$A$6,0))</f>
        <v>1</v>
      </c>
      <c r="D6" s="20" t="n">
        <f aca="false">INDEX(階段!$D$2:$D$6,MATCH($A6,階段!$A$2:$A$6,0))</f>
        <v>1</v>
      </c>
      <c r="E6" s="18" t="s">
        <v>7</v>
      </c>
      <c r="G6" s="21" t="n">
        <f aca="false">IF(AND(G$1&gt;=$C6,G$1&lt;=$D6),1,"")</f>
        <v>1</v>
      </c>
      <c r="H6" s="21" t="str">
        <f aca="false">IF(AND(H$1&gt;=$C6,H$1&lt;=$D6),1,"")</f>
        <v/>
      </c>
      <c r="I6" s="21" t="str">
        <f aca="false">IF(AND(I$1&gt;=$C6,I$1&lt;=$D6),1,"")</f>
        <v/>
      </c>
      <c r="J6" s="21" t="str">
        <f aca="false">IF(AND(J$1&gt;=$C6,J$1&lt;=$D6),1,"")</f>
        <v/>
      </c>
      <c r="K6" s="21" t="str">
        <f aca="false">IF(AND(K$1&gt;=$C6,K$1&lt;=$D6),1,"")</f>
        <v/>
      </c>
      <c r="L6" s="21" t="str">
        <f aca="false">IF(AND(L$1&gt;=$C6,L$1&lt;=$D6),1,"")</f>
        <v/>
      </c>
      <c r="M6" s="21" t="str">
        <f aca="false">IF(AND(M$1&gt;=$C6,M$1&lt;=$D6),1,"")</f>
        <v/>
      </c>
      <c r="N6" s="21" t="str">
        <f aca="false">IF(AND(N$1&gt;=$C6,N$1&lt;=$D6),1,"")</f>
        <v/>
      </c>
      <c r="O6" s="21" t="str">
        <f aca="false">IF(AND(O$1&gt;=$C6,O$1&lt;=$D6),1,"")</f>
        <v/>
      </c>
      <c r="P6" s="21" t="str">
        <f aca="false">IF(AND(P$1&gt;=$C6,P$1&lt;=$D6),1,"")</f>
        <v/>
      </c>
      <c r="Q6" s="21" t="str">
        <f aca="false">IF(AND(Q$1&gt;=$C6,Q$1&lt;=$D6),1,"")</f>
        <v/>
      </c>
      <c r="R6" s="21" t="str">
        <f aca="false">IF(AND(R$1&gt;=$C6,R$1&lt;=$D6),1,"")</f>
        <v/>
      </c>
    </row>
    <row r="7" customFormat="false" ht="15" hidden="false" customHeight="false" outlineLevel="0" collapsed="false">
      <c r="A7" s="13" t="s">
        <v>11</v>
      </c>
      <c r="B7" s="14" t="s">
        <v>184</v>
      </c>
      <c r="C7" s="20" t="n">
        <f aca="false">INDEX(階段!$C$2:$C$6,MATCH($A7,階段!$A$2:$A$6,0))</f>
        <v>1</v>
      </c>
      <c r="D7" s="20" t="n">
        <f aca="false">INDEX(階段!$D$2:$D$6,MATCH($A7,階段!$A$2:$A$6,0))</f>
        <v>2</v>
      </c>
      <c r="E7" s="18" t="s">
        <v>7</v>
      </c>
      <c r="G7" s="21" t="n">
        <f aca="false">IF(AND(G$1&gt;=$C7,G$1&lt;=$D7),1,"")</f>
        <v>1</v>
      </c>
      <c r="H7" s="21" t="n">
        <f aca="false">IF(AND(H$1&gt;=$C7,H$1&lt;=$D7),1,"")</f>
        <v>1</v>
      </c>
      <c r="I7" s="21" t="str">
        <f aca="false">IF(AND(I$1&gt;=$C7,I$1&lt;=$D7),1,"")</f>
        <v/>
      </c>
      <c r="J7" s="21" t="str">
        <f aca="false">IF(AND(J$1&gt;=$C7,J$1&lt;=$D7),1,"")</f>
        <v/>
      </c>
      <c r="K7" s="21" t="str">
        <f aca="false">IF(AND(K$1&gt;=$C7,K$1&lt;=$D7),1,"")</f>
        <v/>
      </c>
      <c r="L7" s="21" t="str">
        <f aca="false">IF(AND(L$1&gt;=$C7,L$1&lt;=$D7),1,"")</f>
        <v/>
      </c>
      <c r="M7" s="21" t="str">
        <f aca="false">IF(AND(M$1&gt;=$C7,M$1&lt;=$D7),1,"")</f>
        <v/>
      </c>
      <c r="N7" s="21" t="str">
        <f aca="false">IF(AND(N$1&gt;=$C7,N$1&lt;=$D7),1,"")</f>
        <v/>
      </c>
      <c r="O7" s="21" t="str">
        <f aca="false">IF(AND(O$1&gt;=$C7,O$1&lt;=$D7),1,"")</f>
        <v/>
      </c>
      <c r="P7" s="21" t="str">
        <f aca="false">IF(AND(P$1&gt;=$C7,P$1&lt;=$D7),1,"")</f>
        <v/>
      </c>
      <c r="Q7" s="21" t="str">
        <f aca="false">IF(AND(Q$1&gt;=$C7,Q$1&lt;=$D7),1,"")</f>
        <v/>
      </c>
      <c r="R7" s="21" t="str">
        <f aca="false">IF(AND(R$1&gt;=$C7,R$1&lt;=$D7),1,"")</f>
        <v/>
      </c>
    </row>
    <row r="8" customFormat="false" ht="15" hidden="false" customHeight="false" outlineLevel="0" collapsed="false">
      <c r="A8" s="13" t="s">
        <v>11</v>
      </c>
      <c r="B8" s="14" t="s">
        <v>185</v>
      </c>
      <c r="C8" s="20" t="n">
        <f aca="false">INDEX(階段!$C$2:$C$6,MATCH($A8,階段!$A$2:$A$6,0))</f>
        <v>1</v>
      </c>
      <c r="D8" s="20" t="n">
        <f aca="false">INDEX(階段!$D$2:$D$6,MATCH($A8,階段!$A$2:$A$6,0))</f>
        <v>2</v>
      </c>
      <c r="E8" s="18" t="s">
        <v>7</v>
      </c>
      <c r="G8" s="21" t="n">
        <f aca="false">IF(AND(G$1&gt;=$C8,G$1&lt;=$D8),1,"")</f>
        <v>1</v>
      </c>
      <c r="H8" s="21" t="n">
        <f aca="false">IF(AND(H$1&gt;=$C8,H$1&lt;=$D8),1,"")</f>
        <v>1</v>
      </c>
      <c r="I8" s="21" t="str">
        <f aca="false">IF(AND(I$1&gt;=$C8,I$1&lt;=$D8),1,"")</f>
        <v/>
      </c>
      <c r="J8" s="21" t="str">
        <f aca="false">IF(AND(J$1&gt;=$C8,J$1&lt;=$D8),1,"")</f>
        <v/>
      </c>
      <c r="K8" s="21" t="str">
        <f aca="false">IF(AND(K$1&gt;=$C8,K$1&lt;=$D8),1,"")</f>
        <v/>
      </c>
      <c r="L8" s="21" t="str">
        <f aca="false">IF(AND(L$1&gt;=$C8,L$1&lt;=$D8),1,"")</f>
        <v/>
      </c>
      <c r="M8" s="21" t="str">
        <f aca="false">IF(AND(M$1&gt;=$C8,M$1&lt;=$D8),1,"")</f>
        <v/>
      </c>
      <c r="N8" s="21" t="str">
        <f aca="false">IF(AND(N$1&gt;=$C8,N$1&lt;=$D8),1,"")</f>
        <v/>
      </c>
      <c r="O8" s="21" t="str">
        <f aca="false">IF(AND(O$1&gt;=$C8,O$1&lt;=$D8),1,"")</f>
        <v/>
      </c>
      <c r="P8" s="21" t="str">
        <f aca="false">IF(AND(P$1&gt;=$C8,P$1&lt;=$D8),1,"")</f>
        <v/>
      </c>
      <c r="Q8" s="21" t="str">
        <f aca="false">IF(AND(Q$1&gt;=$C8,Q$1&lt;=$D8),1,"")</f>
        <v/>
      </c>
      <c r="R8" s="21" t="str">
        <f aca="false">IF(AND(R$1&gt;=$C8,R$1&lt;=$D8),1,"")</f>
        <v/>
      </c>
    </row>
    <row r="9" customFormat="false" ht="15" hidden="false" customHeight="false" outlineLevel="0" collapsed="false">
      <c r="A9" s="13" t="s">
        <v>11</v>
      </c>
      <c r="B9" s="14" t="s">
        <v>186</v>
      </c>
      <c r="C9" s="20" t="n">
        <f aca="false">INDEX(階段!$C$2:$C$6,MATCH($A9,階段!$A$2:$A$6,0))</f>
        <v>1</v>
      </c>
      <c r="D9" s="20" t="n">
        <f aca="false">INDEX(階段!$D$2:$D$6,MATCH($A9,階段!$A$2:$A$6,0))</f>
        <v>2</v>
      </c>
      <c r="E9" s="18" t="s">
        <v>7</v>
      </c>
      <c r="G9" s="21" t="n">
        <f aca="false">IF(AND(G$1&gt;=$C9,G$1&lt;=$D9),1,"")</f>
        <v>1</v>
      </c>
      <c r="H9" s="21" t="n">
        <f aca="false">IF(AND(H$1&gt;=$C9,H$1&lt;=$D9),1,"")</f>
        <v>1</v>
      </c>
      <c r="I9" s="21" t="str">
        <f aca="false">IF(AND(I$1&gt;=$C9,I$1&lt;=$D9),1,"")</f>
        <v/>
      </c>
      <c r="J9" s="21" t="str">
        <f aca="false">IF(AND(J$1&gt;=$C9,J$1&lt;=$D9),1,"")</f>
        <v/>
      </c>
      <c r="K9" s="21" t="str">
        <f aca="false">IF(AND(K$1&gt;=$C9,K$1&lt;=$D9),1,"")</f>
        <v/>
      </c>
      <c r="L9" s="21" t="str">
        <f aca="false">IF(AND(L$1&gt;=$C9,L$1&lt;=$D9),1,"")</f>
        <v/>
      </c>
      <c r="M9" s="21" t="str">
        <f aca="false">IF(AND(M$1&gt;=$C9,M$1&lt;=$D9),1,"")</f>
        <v/>
      </c>
      <c r="N9" s="21" t="str">
        <f aca="false">IF(AND(N$1&gt;=$C9,N$1&lt;=$D9),1,"")</f>
        <v/>
      </c>
      <c r="O9" s="21" t="str">
        <f aca="false">IF(AND(O$1&gt;=$C9,O$1&lt;=$D9),1,"")</f>
        <v/>
      </c>
      <c r="P9" s="21" t="str">
        <f aca="false">IF(AND(P$1&gt;=$C9,P$1&lt;=$D9),1,"")</f>
        <v/>
      </c>
      <c r="Q9" s="21" t="str">
        <f aca="false">IF(AND(Q$1&gt;=$C9,Q$1&lt;=$D9),1,"")</f>
        <v/>
      </c>
      <c r="R9" s="21" t="str">
        <f aca="false">IF(AND(R$1&gt;=$C9,R$1&lt;=$D9),1,"")</f>
        <v/>
      </c>
    </row>
    <row r="10" customFormat="false" ht="15" hidden="false" customHeight="false" outlineLevel="0" collapsed="false">
      <c r="A10" s="13" t="s">
        <v>11</v>
      </c>
      <c r="B10" s="14" t="s">
        <v>187</v>
      </c>
      <c r="C10" s="20" t="n">
        <f aca="false">INDEX(階段!$C$2:$C$6,MATCH($A10,階段!$A$2:$A$6,0))</f>
        <v>1</v>
      </c>
      <c r="D10" s="20" t="n">
        <f aca="false">INDEX(階段!$D$2:$D$6,MATCH($A10,階段!$A$2:$A$6,0))</f>
        <v>2</v>
      </c>
      <c r="E10" s="18" t="s">
        <v>7</v>
      </c>
      <c r="G10" s="21" t="n">
        <f aca="false">IF(AND(G$1&gt;=$C10,G$1&lt;=$D10),1,"")</f>
        <v>1</v>
      </c>
      <c r="H10" s="21" t="n">
        <f aca="false">IF(AND(H$1&gt;=$C10,H$1&lt;=$D10),1,"")</f>
        <v>1</v>
      </c>
      <c r="I10" s="21" t="str">
        <f aca="false">IF(AND(I$1&gt;=$C10,I$1&lt;=$D10),1,"")</f>
        <v/>
      </c>
      <c r="J10" s="21" t="str">
        <f aca="false">IF(AND(J$1&gt;=$C10,J$1&lt;=$D10),1,"")</f>
        <v/>
      </c>
      <c r="K10" s="21" t="str">
        <f aca="false">IF(AND(K$1&gt;=$C10,K$1&lt;=$D10),1,"")</f>
        <v/>
      </c>
      <c r="L10" s="21" t="str">
        <f aca="false">IF(AND(L$1&gt;=$C10,L$1&lt;=$D10),1,"")</f>
        <v/>
      </c>
      <c r="M10" s="21" t="str">
        <f aca="false">IF(AND(M$1&gt;=$C10,M$1&lt;=$D10),1,"")</f>
        <v/>
      </c>
      <c r="N10" s="21" t="str">
        <f aca="false">IF(AND(N$1&gt;=$C10,N$1&lt;=$D10),1,"")</f>
        <v/>
      </c>
      <c r="O10" s="21" t="str">
        <f aca="false">IF(AND(O$1&gt;=$C10,O$1&lt;=$D10),1,"")</f>
        <v/>
      </c>
      <c r="P10" s="21" t="str">
        <f aca="false">IF(AND(P$1&gt;=$C10,P$1&lt;=$D10),1,"")</f>
        <v/>
      </c>
      <c r="Q10" s="21" t="str">
        <f aca="false">IF(AND(Q$1&gt;=$C10,Q$1&lt;=$D10),1,"")</f>
        <v/>
      </c>
      <c r="R10" s="21" t="str">
        <f aca="false">IF(AND(R$1&gt;=$C10,R$1&lt;=$D10),1,"")</f>
        <v/>
      </c>
    </row>
    <row r="11" customFormat="false" ht="15" hidden="false" customHeight="false" outlineLevel="0" collapsed="false">
      <c r="A11" s="13" t="s">
        <v>11</v>
      </c>
      <c r="B11" s="13" t="s">
        <v>188</v>
      </c>
      <c r="C11" s="20" t="n">
        <f aca="false">INDEX(階段!$C$2:$C$6,MATCH($A11,階段!$A$2:$A$6,0))</f>
        <v>1</v>
      </c>
      <c r="D11" s="20" t="n">
        <f aca="false">INDEX(階段!$D$2:$D$6,MATCH($A11,階段!$A$2:$A$6,0))</f>
        <v>2</v>
      </c>
      <c r="E11" s="18" t="s">
        <v>7</v>
      </c>
      <c r="G11" s="21" t="n">
        <f aca="false">IF(AND(G$1&gt;=$C11,G$1&lt;=$D11),1,"")</f>
        <v>1</v>
      </c>
      <c r="H11" s="21" t="n">
        <f aca="false">IF(AND(H$1&gt;=$C11,H$1&lt;=$D11),1,"")</f>
        <v>1</v>
      </c>
      <c r="I11" s="21" t="str">
        <f aca="false">IF(AND(I$1&gt;=$C11,I$1&lt;=$D11),1,"")</f>
        <v/>
      </c>
      <c r="J11" s="21" t="str">
        <f aca="false">IF(AND(J$1&gt;=$C11,J$1&lt;=$D11),1,"")</f>
        <v/>
      </c>
      <c r="K11" s="21" t="str">
        <f aca="false">IF(AND(K$1&gt;=$C11,K$1&lt;=$D11),1,"")</f>
        <v/>
      </c>
      <c r="L11" s="21" t="str">
        <f aca="false">IF(AND(L$1&gt;=$C11,L$1&lt;=$D11),1,"")</f>
        <v/>
      </c>
      <c r="M11" s="21" t="str">
        <f aca="false">IF(AND(M$1&gt;=$C11,M$1&lt;=$D11),1,"")</f>
        <v/>
      </c>
      <c r="N11" s="21" t="str">
        <f aca="false">IF(AND(N$1&gt;=$C11,N$1&lt;=$D11),1,"")</f>
        <v/>
      </c>
      <c r="O11" s="21" t="str">
        <f aca="false">IF(AND(O$1&gt;=$C11,O$1&lt;=$D11),1,"")</f>
        <v/>
      </c>
      <c r="P11" s="21" t="str">
        <f aca="false">IF(AND(P$1&gt;=$C11,P$1&lt;=$D11),1,"")</f>
        <v/>
      </c>
      <c r="Q11" s="21" t="str">
        <f aca="false">IF(AND(Q$1&gt;=$C11,Q$1&lt;=$D11),1,"")</f>
        <v/>
      </c>
      <c r="R11" s="21" t="str">
        <f aca="false">IF(AND(R$1&gt;=$C11,R$1&lt;=$D11),1,"")</f>
        <v/>
      </c>
    </row>
    <row r="12" customFormat="false" ht="15" hidden="false" customHeight="false" outlineLevel="0" collapsed="false">
      <c r="A12" s="13" t="s">
        <v>11</v>
      </c>
      <c r="B12" s="14" t="s">
        <v>189</v>
      </c>
      <c r="C12" s="20" t="n">
        <f aca="false">INDEX(階段!$C$2:$C$6,MATCH($A12,階段!$A$2:$A$6,0))</f>
        <v>1</v>
      </c>
      <c r="D12" s="20" t="n">
        <f aca="false">INDEX(階段!$D$2:$D$6,MATCH($A12,階段!$A$2:$A$6,0))</f>
        <v>2</v>
      </c>
      <c r="E12" s="18" t="s">
        <v>7</v>
      </c>
      <c r="G12" s="21" t="n">
        <f aca="false">IF(AND(G$1&gt;=$C12,G$1&lt;=$D12),1,"")</f>
        <v>1</v>
      </c>
      <c r="H12" s="21" t="n">
        <f aca="false">IF(AND(H$1&gt;=$C12,H$1&lt;=$D12),1,"")</f>
        <v>1</v>
      </c>
      <c r="I12" s="21" t="str">
        <f aca="false">IF(AND(I$1&gt;=$C12,I$1&lt;=$D12),1,"")</f>
        <v/>
      </c>
      <c r="J12" s="21" t="str">
        <f aca="false">IF(AND(J$1&gt;=$C12,J$1&lt;=$D12),1,"")</f>
        <v/>
      </c>
      <c r="K12" s="21" t="str">
        <f aca="false">IF(AND(K$1&gt;=$C12,K$1&lt;=$D12),1,"")</f>
        <v/>
      </c>
      <c r="L12" s="21" t="str">
        <f aca="false">IF(AND(L$1&gt;=$C12,L$1&lt;=$D12),1,"")</f>
        <v/>
      </c>
      <c r="M12" s="21" t="str">
        <f aca="false">IF(AND(M$1&gt;=$C12,M$1&lt;=$D12),1,"")</f>
        <v/>
      </c>
      <c r="N12" s="21" t="str">
        <f aca="false">IF(AND(N$1&gt;=$C12,N$1&lt;=$D12),1,"")</f>
        <v/>
      </c>
      <c r="O12" s="21" t="str">
        <f aca="false">IF(AND(O$1&gt;=$C12,O$1&lt;=$D12),1,"")</f>
        <v/>
      </c>
      <c r="P12" s="21" t="str">
        <f aca="false">IF(AND(P$1&gt;=$C12,P$1&lt;=$D12),1,"")</f>
        <v/>
      </c>
      <c r="Q12" s="21" t="str">
        <f aca="false">IF(AND(Q$1&gt;=$C12,Q$1&lt;=$D12),1,"")</f>
        <v/>
      </c>
      <c r="R12" s="21" t="str">
        <f aca="false">IF(AND(R$1&gt;=$C12,R$1&lt;=$D12),1,"")</f>
        <v/>
      </c>
    </row>
    <row r="13" customFormat="false" ht="15" hidden="false" customHeight="false" outlineLevel="0" collapsed="false">
      <c r="A13" s="13" t="s">
        <v>12</v>
      </c>
      <c r="B13" s="14" t="s">
        <v>190</v>
      </c>
      <c r="C13" s="20" t="n">
        <f aca="false">INDEX(階段!$C$2:$C$6,MATCH($A13,階段!$A$2:$A$6,0))</f>
        <v>3</v>
      </c>
      <c r="D13" s="20" t="n">
        <f aca="false">INDEX(階段!$D$2:$D$6,MATCH($A13,階段!$A$2:$A$6,0))</f>
        <v>4</v>
      </c>
      <c r="E13" s="18" t="s">
        <v>7</v>
      </c>
      <c r="G13" s="21" t="str">
        <f aca="false">IF(AND(G$1&gt;=$C13,G$1&lt;=$D13),1,"")</f>
        <v/>
      </c>
      <c r="H13" s="21" t="str">
        <f aca="false">IF(AND(H$1&gt;=$C13,H$1&lt;=$D13),1,"")</f>
        <v/>
      </c>
      <c r="I13" s="21" t="n">
        <f aca="false">IF(AND(I$1&gt;=$C13,I$1&lt;=$D13),1,"")</f>
        <v>1</v>
      </c>
      <c r="J13" s="21" t="n">
        <f aca="false">IF(AND(J$1&gt;=$C13,J$1&lt;=$D13),1,"")</f>
        <v>1</v>
      </c>
      <c r="K13" s="21" t="str">
        <f aca="false">IF(AND(K$1&gt;=$C13,K$1&lt;=$D13),1,"")</f>
        <v/>
      </c>
      <c r="L13" s="21" t="str">
        <f aca="false">IF(AND(L$1&gt;=$C13,L$1&lt;=$D13),1,"")</f>
        <v/>
      </c>
      <c r="M13" s="21" t="str">
        <f aca="false">IF(AND(M$1&gt;=$C13,M$1&lt;=$D13),1,"")</f>
        <v/>
      </c>
      <c r="N13" s="21" t="str">
        <f aca="false">IF(AND(N$1&gt;=$C13,N$1&lt;=$D13),1,"")</f>
        <v/>
      </c>
      <c r="O13" s="21" t="str">
        <f aca="false">IF(AND(O$1&gt;=$C13,O$1&lt;=$D13),1,"")</f>
        <v/>
      </c>
      <c r="P13" s="21" t="str">
        <f aca="false">IF(AND(P$1&gt;=$C13,P$1&lt;=$D13),1,"")</f>
        <v/>
      </c>
      <c r="Q13" s="21" t="str">
        <f aca="false">IF(AND(Q$1&gt;=$C13,Q$1&lt;=$D13),1,"")</f>
        <v/>
      </c>
      <c r="R13" s="21" t="str">
        <f aca="false">IF(AND(R$1&gt;=$C13,R$1&lt;=$D13),1,"")</f>
        <v/>
      </c>
    </row>
    <row r="14" customFormat="false" ht="15" hidden="false" customHeight="false" outlineLevel="0" collapsed="false">
      <c r="A14" s="13" t="s">
        <v>12</v>
      </c>
      <c r="B14" s="14" t="s">
        <v>191</v>
      </c>
      <c r="C14" s="20" t="n">
        <f aca="false">INDEX(階段!$C$2:$C$6,MATCH($A14,階段!$A$2:$A$6,0))</f>
        <v>3</v>
      </c>
      <c r="D14" s="20" t="n">
        <f aca="false">INDEX(階段!$D$2:$D$6,MATCH($A14,階段!$A$2:$A$6,0))</f>
        <v>4</v>
      </c>
      <c r="E14" s="18" t="s">
        <v>7</v>
      </c>
      <c r="G14" s="21" t="str">
        <f aca="false">IF(AND(G$1&gt;=$C14,G$1&lt;=$D14),1,"")</f>
        <v/>
      </c>
      <c r="H14" s="21" t="str">
        <f aca="false">IF(AND(H$1&gt;=$C14,H$1&lt;=$D14),1,"")</f>
        <v/>
      </c>
      <c r="I14" s="21" t="n">
        <f aca="false">IF(AND(I$1&gt;=$C14,I$1&lt;=$D14),1,"")</f>
        <v>1</v>
      </c>
      <c r="J14" s="21" t="n">
        <f aca="false">IF(AND(J$1&gt;=$C14,J$1&lt;=$D14),1,"")</f>
        <v>1</v>
      </c>
      <c r="K14" s="21" t="str">
        <f aca="false">IF(AND(K$1&gt;=$C14,K$1&lt;=$D14),1,"")</f>
        <v/>
      </c>
      <c r="L14" s="21" t="str">
        <f aca="false">IF(AND(L$1&gt;=$C14,L$1&lt;=$D14),1,"")</f>
        <v/>
      </c>
      <c r="M14" s="21" t="str">
        <f aca="false">IF(AND(M$1&gt;=$C14,M$1&lt;=$D14),1,"")</f>
        <v/>
      </c>
      <c r="N14" s="21" t="str">
        <f aca="false">IF(AND(N$1&gt;=$C14,N$1&lt;=$D14),1,"")</f>
        <v/>
      </c>
      <c r="O14" s="21" t="str">
        <f aca="false">IF(AND(O$1&gt;=$C14,O$1&lt;=$D14),1,"")</f>
        <v/>
      </c>
      <c r="P14" s="21" t="str">
        <f aca="false">IF(AND(P$1&gt;=$C14,P$1&lt;=$D14),1,"")</f>
        <v/>
      </c>
      <c r="Q14" s="21" t="str">
        <f aca="false">IF(AND(Q$1&gt;=$C14,Q$1&lt;=$D14),1,"")</f>
        <v/>
      </c>
      <c r="R14" s="21" t="str">
        <f aca="false">IF(AND(R$1&gt;=$C14,R$1&lt;=$D14),1,"")</f>
        <v/>
      </c>
    </row>
    <row r="15" customFormat="false" ht="15" hidden="false" customHeight="false" outlineLevel="0" collapsed="false">
      <c r="A15" s="13" t="s">
        <v>12</v>
      </c>
      <c r="B15" s="14" t="s">
        <v>192</v>
      </c>
      <c r="C15" s="20" t="n">
        <f aca="false">INDEX(階段!$C$2:$C$6,MATCH($A15,階段!$A$2:$A$6,0))</f>
        <v>3</v>
      </c>
      <c r="D15" s="20" t="n">
        <f aca="false">INDEX(階段!$D$2:$D$6,MATCH($A15,階段!$A$2:$A$6,0))</f>
        <v>4</v>
      </c>
      <c r="E15" s="18" t="s">
        <v>7</v>
      </c>
      <c r="G15" s="21" t="str">
        <f aca="false">IF(AND(G$1&gt;=$C15,G$1&lt;=$D15),1,"")</f>
        <v/>
      </c>
      <c r="H15" s="21" t="str">
        <f aca="false">IF(AND(H$1&gt;=$C15,H$1&lt;=$D15),1,"")</f>
        <v/>
      </c>
      <c r="I15" s="21" t="n">
        <f aca="false">IF(AND(I$1&gt;=$C15,I$1&lt;=$D15),1,"")</f>
        <v>1</v>
      </c>
      <c r="J15" s="21" t="n">
        <f aca="false">IF(AND(J$1&gt;=$C15,J$1&lt;=$D15),1,"")</f>
        <v>1</v>
      </c>
      <c r="K15" s="21" t="str">
        <f aca="false">IF(AND(K$1&gt;=$C15,K$1&lt;=$D15),1,"")</f>
        <v/>
      </c>
      <c r="L15" s="21" t="str">
        <f aca="false">IF(AND(L$1&gt;=$C15,L$1&lt;=$D15),1,"")</f>
        <v/>
      </c>
      <c r="M15" s="21" t="str">
        <f aca="false">IF(AND(M$1&gt;=$C15,M$1&lt;=$D15),1,"")</f>
        <v/>
      </c>
      <c r="N15" s="21" t="str">
        <f aca="false">IF(AND(N$1&gt;=$C15,N$1&lt;=$D15),1,"")</f>
        <v/>
      </c>
      <c r="O15" s="21" t="str">
        <f aca="false">IF(AND(O$1&gt;=$C15,O$1&lt;=$D15),1,"")</f>
        <v/>
      </c>
      <c r="P15" s="21" t="str">
        <f aca="false">IF(AND(P$1&gt;=$C15,P$1&lt;=$D15),1,"")</f>
        <v/>
      </c>
      <c r="Q15" s="21" t="str">
        <f aca="false">IF(AND(Q$1&gt;=$C15,Q$1&lt;=$D15),1,"")</f>
        <v/>
      </c>
      <c r="R15" s="21" t="str">
        <f aca="false">IF(AND(R$1&gt;=$C15,R$1&lt;=$D15),1,"")</f>
        <v/>
      </c>
    </row>
    <row r="16" customFormat="false" ht="15" hidden="false" customHeight="false" outlineLevel="0" collapsed="false">
      <c r="A16" s="13" t="s">
        <v>12</v>
      </c>
      <c r="B16" s="14" t="s">
        <v>193</v>
      </c>
      <c r="C16" s="20" t="n">
        <f aca="false">INDEX(階段!$C$2:$C$6,MATCH($A16,階段!$A$2:$A$6,0))</f>
        <v>3</v>
      </c>
      <c r="D16" s="20" t="n">
        <f aca="false">INDEX(階段!$D$2:$D$6,MATCH($A16,階段!$A$2:$A$6,0))</f>
        <v>4</v>
      </c>
      <c r="E16" s="18" t="s">
        <v>7</v>
      </c>
      <c r="G16" s="21" t="str">
        <f aca="false">IF(AND(G$1&gt;=$C16,G$1&lt;=$D16),1,"")</f>
        <v/>
      </c>
      <c r="H16" s="21" t="str">
        <f aca="false">IF(AND(H$1&gt;=$C16,H$1&lt;=$D16),1,"")</f>
        <v/>
      </c>
      <c r="I16" s="21" t="n">
        <f aca="false">IF(AND(I$1&gt;=$C16,I$1&lt;=$D16),1,"")</f>
        <v>1</v>
      </c>
      <c r="J16" s="21" t="n">
        <f aca="false">IF(AND(J$1&gt;=$C16,J$1&lt;=$D16),1,"")</f>
        <v>1</v>
      </c>
      <c r="K16" s="21" t="str">
        <f aca="false">IF(AND(K$1&gt;=$C16,K$1&lt;=$D16),1,"")</f>
        <v/>
      </c>
      <c r="L16" s="21" t="str">
        <f aca="false">IF(AND(L$1&gt;=$C16,L$1&lt;=$D16),1,"")</f>
        <v/>
      </c>
      <c r="M16" s="21" t="str">
        <f aca="false">IF(AND(M$1&gt;=$C16,M$1&lt;=$D16),1,"")</f>
        <v/>
      </c>
      <c r="N16" s="21" t="str">
        <f aca="false">IF(AND(N$1&gt;=$C16,N$1&lt;=$D16),1,"")</f>
        <v/>
      </c>
      <c r="O16" s="21" t="str">
        <f aca="false">IF(AND(O$1&gt;=$C16,O$1&lt;=$D16),1,"")</f>
        <v/>
      </c>
      <c r="P16" s="21" t="str">
        <f aca="false">IF(AND(P$1&gt;=$C16,P$1&lt;=$D16),1,"")</f>
        <v/>
      </c>
      <c r="Q16" s="21" t="str">
        <f aca="false">IF(AND(Q$1&gt;=$C16,Q$1&lt;=$D16),1,"")</f>
        <v/>
      </c>
      <c r="R16" s="21" t="str">
        <f aca="false">IF(AND(R$1&gt;=$C16,R$1&lt;=$D16),1,"")</f>
        <v/>
      </c>
    </row>
    <row r="17" customFormat="false" ht="15" hidden="false" customHeight="false" outlineLevel="0" collapsed="false">
      <c r="A17" s="13" t="s">
        <v>13</v>
      </c>
      <c r="B17" s="14" t="s">
        <v>194</v>
      </c>
      <c r="C17" s="20" t="n">
        <f aca="false">INDEX(階段!$C$2:$C$6,MATCH($A17,階段!$A$2:$A$6,0))</f>
        <v>6</v>
      </c>
      <c r="D17" s="20" t="n">
        <f aca="false">INDEX(階段!$D$2:$D$6,MATCH($A17,階段!$A$2:$A$6,0))</f>
        <v>9</v>
      </c>
      <c r="E17" s="18" t="s">
        <v>7</v>
      </c>
      <c r="G17" s="21" t="str">
        <f aca="false">IF(AND(G$1&gt;=$C17,G$1&lt;=$D17),1,"")</f>
        <v/>
      </c>
      <c r="H17" s="21" t="str">
        <f aca="false">IF(AND(H$1&gt;=$C17,H$1&lt;=$D17),1,"")</f>
        <v/>
      </c>
      <c r="I17" s="21" t="str">
        <f aca="false">IF(AND(I$1&gt;=$C17,I$1&lt;=$D17),1,"")</f>
        <v/>
      </c>
      <c r="J17" s="21" t="str">
        <f aca="false">IF(AND(J$1&gt;=$C17,J$1&lt;=$D17),1,"")</f>
        <v/>
      </c>
      <c r="K17" s="21" t="str">
        <f aca="false">IF(AND(K$1&gt;=$C17,K$1&lt;=$D17),1,"")</f>
        <v/>
      </c>
      <c r="L17" s="21" t="n">
        <f aca="false">IF(AND(L$1&gt;=$C17,L$1&lt;=$D17),1,"")</f>
        <v>1</v>
      </c>
      <c r="M17" s="21" t="n">
        <f aca="false">IF(AND(M$1&gt;=$C17,M$1&lt;=$D17),1,"")</f>
        <v>1</v>
      </c>
      <c r="N17" s="21" t="n">
        <f aca="false">IF(AND(N$1&gt;=$C17,N$1&lt;=$D17),1,"")</f>
        <v>1</v>
      </c>
      <c r="O17" s="21" t="n">
        <f aca="false">IF(AND(O$1&gt;=$C17,O$1&lt;=$D17),1,"")</f>
        <v>1</v>
      </c>
      <c r="P17" s="21" t="str">
        <f aca="false">IF(AND(P$1&gt;=$C17,P$1&lt;=$D17),1,"")</f>
        <v/>
      </c>
      <c r="Q17" s="21" t="str">
        <f aca="false">IF(AND(Q$1&gt;=$C17,Q$1&lt;=$D17),1,"")</f>
        <v/>
      </c>
      <c r="R17" s="21" t="str">
        <f aca="false">IF(AND(R$1&gt;=$C17,R$1&lt;=$D17),1,"")</f>
        <v/>
      </c>
    </row>
    <row r="18" customFormat="false" ht="15" hidden="false" customHeight="false" outlineLevel="0" collapsed="false">
      <c r="A18" s="13" t="s">
        <v>13</v>
      </c>
      <c r="B18" s="14" t="s">
        <v>195</v>
      </c>
      <c r="C18" s="20" t="n">
        <f aca="false">INDEX(階段!$C$2:$C$6,MATCH($A18,階段!$A$2:$A$6,0))</f>
        <v>6</v>
      </c>
      <c r="D18" s="20" t="n">
        <f aca="false">INDEX(階段!$D$2:$D$6,MATCH($A18,階段!$A$2:$A$6,0))</f>
        <v>9</v>
      </c>
      <c r="E18" s="18" t="s">
        <v>7</v>
      </c>
      <c r="G18" s="21" t="str">
        <f aca="false">IF(AND(G$1&gt;=$C18,G$1&lt;=$D18),1,"")</f>
        <v/>
      </c>
      <c r="H18" s="21" t="str">
        <f aca="false">IF(AND(H$1&gt;=$C18,H$1&lt;=$D18),1,"")</f>
        <v/>
      </c>
      <c r="I18" s="21" t="str">
        <f aca="false">IF(AND(I$1&gt;=$C18,I$1&lt;=$D18),1,"")</f>
        <v/>
      </c>
      <c r="J18" s="21" t="str">
        <f aca="false">IF(AND(J$1&gt;=$C18,J$1&lt;=$D18),1,"")</f>
        <v/>
      </c>
      <c r="K18" s="21" t="str">
        <f aca="false">IF(AND(K$1&gt;=$C18,K$1&lt;=$D18),1,"")</f>
        <v/>
      </c>
      <c r="L18" s="21" t="n">
        <f aca="false">IF(AND(L$1&gt;=$C18,L$1&lt;=$D18),1,"")</f>
        <v>1</v>
      </c>
      <c r="M18" s="21" t="n">
        <f aca="false">IF(AND(M$1&gt;=$C18,M$1&lt;=$D18),1,"")</f>
        <v>1</v>
      </c>
      <c r="N18" s="21" t="n">
        <f aca="false">IF(AND(N$1&gt;=$C18,N$1&lt;=$D18),1,"")</f>
        <v>1</v>
      </c>
      <c r="O18" s="21" t="n">
        <f aca="false">IF(AND(O$1&gt;=$C18,O$1&lt;=$D18),1,"")</f>
        <v>1</v>
      </c>
      <c r="P18" s="21" t="str">
        <f aca="false">IF(AND(P$1&gt;=$C18,P$1&lt;=$D18),1,"")</f>
        <v/>
      </c>
      <c r="Q18" s="21" t="str">
        <f aca="false">IF(AND(Q$1&gt;=$C18,Q$1&lt;=$D18),1,"")</f>
        <v/>
      </c>
      <c r="R18" s="21" t="str">
        <f aca="false">IF(AND(R$1&gt;=$C18,R$1&lt;=$D18),1,"")</f>
        <v/>
      </c>
    </row>
    <row r="19" customFormat="false" ht="15" hidden="false" customHeight="false" outlineLevel="0" collapsed="false">
      <c r="A19" s="13" t="s">
        <v>14</v>
      </c>
      <c r="B19" s="13" t="s">
        <v>196</v>
      </c>
      <c r="C19" s="20" t="n">
        <f aca="false">INDEX(階段!$C$2:$C$6,MATCH($A19,階段!$A$2:$A$6,0))</f>
        <v>12</v>
      </c>
      <c r="D19" s="20" t="n">
        <f aca="false">INDEX(階段!$D$2:$D$6,MATCH($A19,階段!$A$2:$A$6,0))</f>
        <v>12</v>
      </c>
      <c r="E19" s="18" t="s">
        <v>7</v>
      </c>
      <c r="G19" s="21" t="str">
        <f aca="false">IF(AND(G$1&gt;=$C19,G$1&lt;=$D19),1,"")</f>
        <v/>
      </c>
      <c r="H19" s="21" t="str">
        <f aca="false">IF(AND(H$1&gt;=$C19,H$1&lt;=$D19),1,"")</f>
        <v/>
      </c>
      <c r="I19" s="21" t="str">
        <f aca="false">IF(AND(I$1&gt;=$C19,I$1&lt;=$D19),1,"")</f>
        <v/>
      </c>
      <c r="J19" s="21" t="str">
        <f aca="false">IF(AND(J$1&gt;=$C19,J$1&lt;=$D19),1,"")</f>
        <v/>
      </c>
      <c r="K19" s="21" t="str">
        <f aca="false">IF(AND(K$1&gt;=$C19,K$1&lt;=$D19),1,"")</f>
        <v/>
      </c>
      <c r="L19" s="21" t="str">
        <f aca="false">IF(AND(L$1&gt;=$C19,L$1&lt;=$D19),1,"")</f>
        <v/>
      </c>
      <c r="M19" s="21" t="str">
        <f aca="false">IF(AND(M$1&gt;=$C19,M$1&lt;=$D19),1,"")</f>
        <v/>
      </c>
      <c r="N19" s="21" t="str">
        <f aca="false">IF(AND(N$1&gt;=$C19,N$1&lt;=$D19),1,"")</f>
        <v/>
      </c>
      <c r="O19" s="21" t="str">
        <f aca="false">IF(AND(O$1&gt;=$C19,O$1&lt;=$D19),1,"")</f>
        <v/>
      </c>
      <c r="P19" s="21" t="str">
        <f aca="false">IF(AND(P$1&gt;=$C19,P$1&lt;=$D19),1,"")</f>
        <v/>
      </c>
      <c r="Q19" s="21" t="str">
        <f aca="false">IF(AND(Q$1&gt;=$C19,Q$1&lt;=$D19),1,"")</f>
        <v/>
      </c>
      <c r="R19" s="21" t="n">
        <f aca="false">IF(AND(R$1&gt;=$C19,R$1&lt;=$D19),1,"")</f>
        <v>1</v>
      </c>
    </row>
    <row r="20" customFormat="false" ht="15" hidden="false" customHeight="false" outlineLevel="0" collapsed="false">
      <c r="A20" s="13" t="s">
        <v>14</v>
      </c>
      <c r="B20" s="14" t="s">
        <v>197</v>
      </c>
      <c r="C20" s="20" t="n">
        <f aca="false">INDEX(階段!$C$2:$C$6,MATCH($A20,階段!$A$2:$A$6,0))</f>
        <v>12</v>
      </c>
      <c r="D20" s="20" t="n">
        <f aca="false">INDEX(階段!$D$2:$D$6,MATCH($A20,階段!$A$2:$A$6,0))</f>
        <v>12</v>
      </c>
      <c r="E20" s="18" t="s">
        <v>7</v>
      </c>
      <c r="G20" s="21" t="str">
        <f aca="false">IF(AND(G$1&gt;=$C20,G$1&lt;=$D20),1,"")</f>
        <v/>
      </c>
      <c r="H20" s="21" t="str">
        <f aca="false">IF(AND(H$1&gt;=$C20,H$1&lt;=$D20),1,"")</f>
        <v/>
      </c>
      <c r="I20" s="21" t="str">
        <f aca="false">IF(AND(I$1&gt;=$C20,I$1&lt;=$D20),1,"")</f>
        <v/>
      </c>
      <c r="J20" s="21" t="str">
        <f aca="false">IF(AND(J$1&gt;=$C20,J$1&lt;=$D20),1,"")</f>
        <v/>
      </c>
      <c r="K20" s="21" t="str">
        <f aca="false">IF(AND(K$1&gt;=$C20,K$1&lt;=$D20),1,"")</f>
        <v/>
      </c>
      <c r="L20" s="21" t="str">
        <f aca="false">IF(AND(L$1&gt;=$C20,L$1&lt;=$D20),1,"")</f>
        <v/>
      </c>
      <c r="M20" s="21" t="str">
        <f aca="false">IF(AND(M$1&gt;=$C20,M$1&lt;=$D20),1,"")</f>
        <v/>
      </c>
      <c r="N20" s="21" t="str">
        <f aca="false">IF(AND(N$1&gt;=$C20,N$1&lt;=$D20),1,"")</f>
        <v/>
      </c>
      <c r="O20" s="21" t="str">
        <f aca="false">IF(AND(O$1&gt;=$C20,O$1&lt;=$D20),1,"")</f>
        <v/>
      </c>
      <c r="P20" s="21" t="str">
        <f aca="false">IF(AND(P$1&gt;=$C20,P$1&lt;=$D20),1,"")</f>
        <v/>
      </c>
      <c r="Q20" s="21" t="str">
        <f aca="false">IF(AND(Q$1&gt;=$C20,Q$1&lt;=$D20),1,"")</f>
        <v/>
      </c>
      <c r="R20" s="21" t="n">
        <f aca="false">IF(AND(R$1&gt;=$C20,R$1&lt;=$D20),1,"")</f>
        <v>1</v>
      </c>
    </row>
    <row r="21" customFormat="false" ht="15" hidden="false" customHeight="false" outlineLevel="0" collapsed="false">
      <c r="A21" s="13" t="s">
        <v>14</v>
      </c>
      <c r="B21" s="14" t="s">
        <v>198</v>
      </c>
      <c r="C21" s="20" t="n">
        <f aca="false">INDEX(階段!$C$2:$C$6,MATCH($A21,階段!$A$2:$A$6,0))</f>
        <v>12</v>
      </c>
      <c r="D21" s="20" t="n">
        <f aca="false">INDEX(階段!$D$2:$D$6,MATCH($A21,階段!$A$2:$A$6,0))</f>
        <v>12</v>
      </c>
      <c r="E21" s="18" t="s">
        <v>7</v>
      </c>
      <c r="G21" s="21" t="str">
        <f aca="false">IF(AND(G$1&gt;=$C21,G$1&lt;=$D21),1,"")</f>
        <v/>
      </c>
      <c r="H21" s="21" t="str">
        <f aca="false">IF(AND(H$1&gt;=$C21,H$1&lt;=$D21),1,"")</f>
        <v/>
      </c>
      <c r="I21" s="21" t="str">
        <f aca="false">IF(AND(I$1&gt;=$C21,I$1&lt;=$D21),1,"")</f>
        <v/>
      </c>
      <c r="J21" s="21" t="str">
        <f aca="false">IF(AND(J$1&gt;=$C21,J$1&lt;=$D21),1,"")</f>
        <v/>
      </c>
      <c r="K21" s="21" t="str">
        <f aca="false">IF(AND(K$1&gt;=$C21,K$1&lt;=$D21),1,"")</f>
        <v/>
      </c>
      <c r="L21" s="21" t="str">
        <f aca="false">IF(AND(L$1&gt;=$C21,L$1&lt;=$D21),1,"")</f>
        <v/>
      </c>
      <c r="M21" s="21" t="str">
        <f aca="false">IF(AND(M$1&gt;=$C21,M$1&lt;=$D21),1,"")</f>
        <v/>
      </c>
      <c r="N21" s="21" t="str">
        <f aca="false">IF(AND(N$1&gt;=$C21,N$1&lt;=$D21),1,"")</f>
        <v/>
      </c>
      <c r="O21" s="21" t="str">
        <f aca="false">IF(AND(O$1&gt;=$C21,O$1&lt;=$D21),1,"")</f>
        <v/>
      </c>
      <c r="P21" s="21" t="str">
        <f aca="false">IF(AND(P$1&gt;=$C21,P$1&lt;=$D21),1,"")</f>
        <v/>
      </c>
      <c r="Q21" s="21" t="str">
        <f aca="false">IF(AND(Q$1&gt;=$C21,Q$1&lt;=$D21),1,"")</f>
        <v/>
      </c>
      <c r="R21" s="21" t="n">
        <f aca="false">IF(AND(R$1&gt;=$C21,R$1&lt;=$D21),1,"")</f>
        <v>1</v>
      </c>
    </row>
    <row r="23" customFormat="false" ht="15" hidden="false" customHeight="false" outlineLevel="0" collapsed="false">
      <c r="A23" s="6" t="s">
        <v>199</v>
      </c>
    </row>
  </sheetData>
  <autoFilter ref="A1:E21"/>
  <conditionalFormatting sqref="E2:E21">
    <cfRule type="cellIs" priority="2" operator="equal" aboveAverage="0" equalAverage="0" bottom="0" percent="0" rank="0" text="" dxfId="7">
      <formula>"完成"</formula>
    </cfRule>
    <cfRule type="cellIs" priority="3" operator="equal" aboveAverage="0" equalAverage="0" bottom="0" percent="0" rank="0" text="" dxfId="8">
      <formula>"進行中"</formula>
    </cfRule>
  </conditionalFormatting>
  <conditionalFormatting sqref="G2:R21">
    <cfRule type="expression" priority="4" aboveAverage="0" equalAverage="0" bottom="0" percent="0" rank="0" text="" dxfId="10">
      <formula>G2=1</formula>
    </cfRule>
  </conditionalFormatting>
  <dataValidations count="1">
    <dataValidation allowBlank="false" errorStyle="stop" operator="between" showDropDown="false" showErrorMessage="false" showInputMessage="false" sqref="E2:E21" type="list">
      <formula1>"未開始,進行中,完成"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46"/>
  </cols>
  <sheetData>
    <row r="1" customFormat="false" ht="15" hidden="false" customHeight="false" outlineLevel="0" collapsed="false">
      <c r="A1" s="11" t="s">
        <v>200</v>
      </c>
      <c r="B1" s="11" t="s">
        <v>179</v>
      </c>
      <c r="C1" s="11" t="s">
        <v>117</v>
      </c>
      <c r="D1" s="11" t="s">
        <v>201</v>
      </c>
      <c r="E1" s="11" t="s">
        <v>202</v>
      </c>
    </row>
    <row r="2" customFormat="false" ht="15" hidden="false" customHeight="false" outlineLevel="0" collapsed="false">
      <c r="A2" s="13" t="s">
        <v>203</v>
      </c>
      <c r="B2" s="14" t="s">
        <v>204</v>
      </c>
      <c r="C2" s="16" t="s">
        <v>205</v>
      </c>
      <c r="D2" s="12" t="s">
        <v>206</v>
      </c>
      <c r="E2" s="14"/>
    </row>
    <row r="3" customFormat="false" ht="15" hidden="false" customHeight="false" outlineLevel="0" collapsed="false">
      <c r="A3" s="13" t="s">
        <v>207</v>
      </c>
      <c r="B3" s="13" t="s">
        <v>208</v>
      </c>
      <c r="C3" s="16" t="s">
        <v>209</v>
      </c>
      <c r="D3" s="12" t="s">
        <v>206</v>
      </c>
      <c r="E3" s="14"/>
    </row>
    <row r="4" customFormat="false" ht="29.85" hidden="false" customHeight="false" outlineLevel="0" collapsed="false">
      <c r="A4" s="13" t="s">
        <v>210</v>
      </c>
      <c r="B4" s="14" t="s">
        <v>211</v>
      </c>
      <c r="C4" s="16" t="s">
        <v>212</v>
      </c>
      <c r="D4" s="12" t="s">
        <v>213</v>
      </c>
      <c r="E4" s="14" t="s">
        <v>214</v>
      </c>
    </row>
    <row r="5" customFormat="false" ht="15" hidden="false" customHeight="false" outlineLevel="0" collapsed="false">
      <c r="A5" s="13" t="s">
        <v>215</v>
      </c>
      <c r="B5" s="14" t="s">
        <v>216</v>
      </c>
      <c r="C5" s="16" t="s">
        <v>212</v>
      </c>
      <c r="D5" s="12" t="s">
        <v>217</v>
      </c>
      <c r="E5" s="14"/>
    </row>
    <row r="6" customFormat="false" ht="15" hidden="false" customHeight="false" outlineLevel="0" collapsed="false">
      <c r="A6" s="13" t="s">
        <v>218</v>
      </c>
      <c r="B6" s="14" t="s">
        <v>219</v>
      </c>
      <c r="C6" s="16" t="s">
        <v>220</v>
      </c>
      <c r="D6" s="12" t="s">
        <v>217</v>
      </c>
      <c r="E6" s="14"/>
    </row>
    <row r="7" customFormat="false" ht="15" hidden="false" customHeight="false" outlineLevel="0" collapsed="false">
      <c r="A7" s="13" t="s">
        <v>221</v>
      </c>
      <c r="B7" s="14" t="s">
        <v>222</v>
      </c>
      <c r="C7" s="16" t="s">
        <v>223</v>
      </c>
      <c r="D7" s="12" t="s">
        <v>217</v>
      </c>
      <c r="E7" s="14"/>
    </row>
    <row r="8" customFormat="false" ht="15" hidden="false" customHeight="false" outlineLevel="0" collapsed="false">
      <c r="A8" s="13" t="s">
        <v>224</v>
      </c>
      <c r="B8" s="14" t="s">
        <v>225</v>
      </c>
      <c r="C8" s="16" t="s">
        <v>223</v>
      </c>
      <c r="D8" s="12" t="s">
        <v>226</v>
      </c>
      <c r="E8" s="14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6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11" t="s">
        <v>228</v>
      </c>
      <c r="B1" s="11" t="s">
        <v>229</v>
      </c>
      <c r="C1" s="11" t="s">
        <v>230</v>
      </c>
    </row>
    <row r="2" customFormat="false" ht="15" hidden="false" customHeight="false" outlineLevel="0" collapsed="false">
      <c r="A2" s="12" t="s">
        <v>32</v>
      </c>
      <c r="B2" s="13" t="s">
        <v>231</v>
      </c>
      <c r="C2" s="15" t="s">
        <v>37</v>
      </c>
    </row>
    <row r="3" customFormat="false" ht="15" hidden="false" customHeight="false" outlineLevel="0" collapsed="false">
      <c r="A3" s="12" t="s">
        <v>32</v>
      </c>
      <c r="B3" s="13" t="s">
        <v>232</v>
      </c>
      <c r="C3" s="15" t="s">
        <v>233</v>
      </c>
    </row>
    <row r="4" customFormat="false" ht="26.85" hidden="false" customHeight="false" outlineLevel="0" collapsed="false">
      <c r="A4" s="12" t="s">
        <v>32</v>
      </c>
      <c r="B4" s="13" t="s">
        <v>234</v>
      </c>
      <c r="C4" s="15" t="s">
        <v>235</v>
      </c>
    </row>
    <row r="5" customFormat="false" ht="15" hidden="false" customHeight="false" outlineLevel="0" collapsed="false">
      <c r="A5" s="12" t="s">
        <v>236</v>
      </c>
      <c r="B5" s="13" t="s">
        <v>237</v>
      </c>
      <c r="C5" s="15" t="s">
        <v>43</v>
      </c>
    </row>
    <row r="6" customFormat="false" ht="15" hidden="false" customHeight="false" outlineLevel="0" collapsed="false">
      <c r="A6" s="12" t="s">
        <v>236</v>
      </c>
      <c r="B6" s="13" t="s">
        <v>238</v>
      </c>
      <c r="C6" s="15" t="s">
        <v>239</v>
      </c>
    </row>
    <row r="7" customFormat="false" ht="29.85" hidden="false" customHeight="false" outlineLevel="0" collapsed="false">
      <c r="A7" s="12" t="s">
        <v>236</v>
      </c>
      <c r="B7" s="13" t="s">
        <v>240</v>
      </c>
      <c r="C7" s="15" t="s">
        <v>241</v>
      </c>
    </row>
    <row r="8" customFormat="false" ht="15" hidden="false" customHeight="false" outlineLevel="0" collapsed="false">
      <c r="A8" s="16" t="s">
        <v>242</v>
      </c>
      <c r="B8" s="13" t="s">
        <v>243</v>
      </c>
      <c r="C8" s="15" t="s">
        <v>54</v>
      </c>
    </row>
    <row r="9" customFormat="false" ht="15" hidden="false" customHeight="false" outlineLevel="0" collapsed="false">
      <c r="A9" s="16" t="s">
        <v>242</v>
      </c>
      <c r="B9" s="13" t="s">
        <v>244</v>
      </c>
      <c r="C9" s="15" t="s">
        <v>245</v>
      </c>
    </row>
    <row r="10" customFormat="false" ht="15" hidden="false" customHeight="false" outlineLevel="0" collapsed="false">
      <c r="A10" s="16" t="s">
        <v>242</v>
      </c>
      <c r="B10" s="13" t="s">
        <v>246</v>
      </c>
      <c r="C10" s="15" t="s">
        <v>247</v>
      </c>
    </row>
    <row r="11" customFormat="false" ht="15" hidden="false" customHeight="false" outlineLevel="0" collapsed="false">
      <c r="A11" s="16" t="s">
        <v>242</v>
      </c>
      <c r="B11" s="13" t="s">
        <v>248</v>
      </c>
      <c r="C11" s="15" t="s">
        <v>59</v>
      </c>
    </row>
    <row r="12" customFormat="false" ht="15" hidden="false" customHeight="false" outlineLevel="0" collapsed="false">
      <c r="A12" s="16" t="s">
        <v>249</v>
      </c>
      <c r="B12" s="13" t="s">
        <v>250</v>
      </c>
      <c r="C12" s="15" t="s">
        <v>64</v>
      </c>
    </row>
    <row r="13" customFormat="false" ht="15" hidden="false" customHeight="false" outlineLevel="0" collapsed="false">
      <c r="A13" s="12" t="s">
        <v>65</v>
      </c>
      <c r="B13" s="13" t="s">
        <v>251</v>
      </c>
      <c r="C13" s="15" t="s">
        <v>70</v>
      </c>
    </row>
    <row r="14" customFormat="false" ht="15" hidden="false" customHeight="false" outlineLevel="0" collapsed="false">
      <c r="A14" s="12" t="s">
        <v>65</v>
      </c>
      <c r="B14" s="13" t="s">
        <v>252</v>
      </c>
      <c r="C14" s="15" t="s">
        <v>75</v>
      </c>
    </row>
    <row r="15" customFormat="false" ht="15" hidden="false" customHeight="false" outlineLevel="0" collapsed="false">
      <c r="A15" s="12" t="s">
        <v>65</v>
      </c>
      <c r="B15" s="14" t="s">
        <v>253</v>
      </c>
      <c r="C15" s="15" t="s">
        <v>80</v>
      </c>
    </row>
    <row r="16" customFormat="false" ht="15" hidden="false" customHeight="false" outlineLevel="0" collapsed="false">
      <c r="A16" s="12" t="s">
        <v>81</v>
      </c>
      <c r="B16" s="13" t="s">
        <v>254</v>
      </c>
      <c r="C16" s="15" t="s">
        <v>90</v>
      </c>
    </row>
    <row r="17" customFormat="false" ht="15" hidden="false" customHeight="false" outlineLevel="0" collapsed="false">
      <c r="A17" s="12" t="s">
        <v>81</v>
      </c>
      <c r="B17" s="13" t="s">
        <v>255</v>
      </c>
      <c r="C17" s="15" t="s">
        <v>86</v>
      </c>
    </row>
    <row r="18" customFormat="false" ht="15" hidden="false" customHeight="false" outlineLevel="0" collapsed="false">
      <c r="A18" s="12" t="s">
        <v>91</v>
      </c>
      <c r="B18" s="13" t="s">
        <v>256</v>
      </c>
      <c r="C18" s="15" t="s">
        <v>96</v>
      </c>
    </row>
    <row r="19" customFormat="false" ht="15" hidden="false" customHeight="false" outlineLevel="0" collapsed="false">
      <c r="A19" s="12" t="s">
        <v>91</v>
      </c>
      <c r="B19" s="13" t="s">
        <v>257</v>
      </c>
      <c r="C19" s="15" t="s">
        <v>258</v>
      </c>
    </row>
    <row r="20" customFormat="false" ht="15" hidden="false" customHeight="false" outlineLevel="0" collapsed="false">
      <c r="A20" s="12" t="s">
        <v>259</v>
      </c>
      <c r="B20" s="13" t="s">
        <v>260</v>
      </c>
      <c r="C20" s="15" t="s">
        <v>261</v>
      </c>
    </row>
    <row r="21" customFormat="false" ht="15" hidden="false" customHeight="false" outlineLevel="0" collapsed="false">
      <c r="A21" s="12" t="s">
        <v>262</v>
      </c>
      <c r="B21" s="13" t="s">
        <v>263</v>
      </c>
      <c r="C21" s="15" t="s">
        <v>264</v>
      </c>
    </row>
    <row r="22" customFormat="false" ht="15" hidden="false" customHeight="false" outlineLevel="0" collapsed="false">
      <c r="A22" s="12" t="s">
        <v>265</v>
      </c>
      <c r="B22" s="13" t="s">
        <v>266</v>
      </c>
      <c r="C22" s="15" t="s">
        <v>101</v>
      </c>
    </row>
    <row r="23" customFormat="false" ht="15" hidden="false" customHeight="false" outlineLevel="0" collapsed="false">
      <c r="A23" s="12" t="s">
        <v>102</v>
      </c>
      <c r="B23" s="13" t="s">
        <v>267</v>
      </c>
      <c r="C23" s="15" t="s">
        <v>107</v>
      </c>
    </row>
    <row r="24" customFormat="false" ht="15" hidden="false" customHeight="false" outlineLevel="0" collapsed="false">
      <c r="A24" s="12" t="s">
        <v>102</v>
      </c>
      <c r="B24" s="13" t="s">
        <v>268</v>
      </c>
      <c r="C24" s="15" t="s">
        <v>111</v>
      </c>
    </row>
    <row r="25" customFormat="false" ht="15" hidden="false" customHeight="false" outlineLevel="0" collapsed="false">
      <c r="A25" s="12" t="s">
        <v>206</v>
      </c>
      <c r="B25" s="13" t="s">
        <v>269</v>
      </c>
      <c r="C25" s="15" t="s">
        <v>48</v>
      </c>
    </row>
  </sheetData>
  <hyperlinks>
    <hyperlink ref="C2" r:id="rId1" display="https://arxiv.org/html/2403.16971v2"/>
    <hyperlink ref="C3" r:id="rId2" display="https://easychair.org/cfp/AgenticOS2026"/>
    <hyperlink ref="C4" r:id="rId3" display="https://icml.cc/virtual/2026/69297"/>
    <hyperlink ref="C5" r:id="rId4" display="https://securityboulevard.com/2026/03/latest-openclaw-flaw-can-let-malicious-websites-hijack-local-ai-agents/"/>
    <hyperlink ref="C6" r:id="rId5" display="https://www.bankinfosecurity.net/openclaw-ai-agent-sparks-global-security-alarm-a-30686"/>
    <hyperlink ref="C7" r:id="rId6" display="https://www.esecurityplanet.com/threats/openclaws-rapid-rise-exposes-thousands-of-ai-agents-to-the-public-internet/"/>
    <hyperlink ref="C8" r:id="rId7" display="https://techspective.net/2025/11/18/windows-becoming-operating-system-for-ai-agents/"/>
    <hyperlink ref="C9" r:id="rId8" display="https://www.neowin.net/news/microsoft-is-making-ai-agents-a-first-class-component-of-windows/"/>
    <hyperlink ref="C10" r:id="rId9" display="https://tinycorestudios.uk/blog/news/2026-03-30-android-appfunctions/"/>
    <hyperlink ref="C11" r:id="rId10" display="https://macrumors.com/2026/05/12/google-previews-android-17/"/>
    <hyperlink ref="C12" r:id="rId11" display="https://www.gizmodo.com/siri-total-chatbot-makeover-is-imminent-with-ios-27-2000757747"/>
    <hyperlink ref="C13" r:id="rId12" display="https://noqta.tn/en/news/openai-frontier-enterprise-ai-agent-platform-2026"/>
    <hyperlink ref="C14" r:id="rId13" display="https://mythos.one/me/brianswichkow/1ba4d7"/>
    <hyperlink ref="C15" r:id="rId14" display="https://algeriatech.news/?p=22501"/>
    <hyperlink ref="C16" r:id="rId15" display="https://algeriatech.news/?p=35142"/>
    <hyperlink ref="C17" r:id="rId16" display="https://tarrysingh.com/blog/the-agent-stack-just-became-a-standard"/>
    <hyperlink ref="C18" r:id="rId17" display="https://www.beam.cloud/blog/best-e2b-alternatives"/>
    <hyperlink ref="C19" r:id="rId18" display="https://noqta.tn/blog/ai-agent-sandbox-secure-code-execution-2026"/>
    <hyperlink ref="C20" r:id="rId19" display="https://mem0.ai/library/agent-memory/zep-vs-mem0-which-ai-memory-layer-should-you-choose"/>
    <hyperlink ref="C21" r:id="rId20" display="https://atlan.com/know/best-ai-agent-memory-frameworks-2026/"/>
    <hyperlink ref="C22" r:id="rId21" display="https://www.developersdigest.tech/blog/best-ai-agent-memory-providers-2026"/>
    <hyperlink ref="C23" r:id="rId22" display="https://www.scmp.com/tech/tech-trends/article/3335746/chinas-zai-open-sources-ai-agent-tool-phones-after-bytedance-privacy-backlash"/>
    <hyperlink ref="C24" r:id="rId23" display="https://www.thenextweb.com/news/china-agentic-ai-smartphones-zte-navix-doubao-waic"/>
    <hyperlink ref="C25" r:id="rId24" display="https://news.ainauten.com/markdown/open-source-hermes-aios-lernt-aus-deinem-workflo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2026-10-19T04:48:17Z</dcterms:created>
  <dc:creator>openpyxl</dc:creator>
  <dc:description/>
  <dc:language>en-US</dc:language>
  <cp:lastModifiedBy/>
  <dcterms:modified xsi:type="dcterms:W3CDTF">2026-10-19T04:48:17Z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